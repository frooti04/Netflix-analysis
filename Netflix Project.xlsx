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283a02369bc20066/Documents/"/>
    </mc:Choice>
  </mc:AlternateContent>
  <xr:revisionPtr revIDLastSave="905" documentId="8_{8EB3FB09-653B-47CC-A914-E27F25AC861F}" xr6:coauthVersionLast="47" xr6:coauthVersionMax="47" xr10:uidLastSave="{AE490435-689E-4073-BCA9-842CBBCC6337}"/>
  <bookViews>
    <workbookView xWindow="-108" yWindow="-108" windowWidth="23256" windowHeight="13176" activeTab="1" xr2:uid="{0F3E4BEE-B2E1-4CAF-8350-B910045A30B3}"/>
  </bookViews>
  <sheets>
    <sheet name="Raw Data" sheetId="1" r:id="rId1"/>
    <sheet name="Analysis" sheetId="2" r:id="rId2"/>
    <sheet name="Dashboard" sheetId="3" r:id="rId3"/>
  </sheets>
  <definedNames>
    <definedName name="Slicer_Country">#N/A</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 l="1"/>
  <c r="H59" i="1"/>
  <c r="C62" i="1"/>
  <c r="C59" i="1"/>
  <c r="B59" i="1"/>
</calcChain>
</file>

<file path=xl/sharedStrings.xml><?xml version="1.0" encoding="utf-8"?>
<sst xmlns="http://schemas.openxmlformats.org/spreadsheetml/2006/main" count="382" uniqueCount="155">
  <si>
    <t xml:space="preserve">Show ID </t>
  </si>
  <si>
    <t>Title</t>
  </si>
  <si>
    <t>Type</t>
  </si>
  <si>
    <t>Country</t>
  </si>
  <si>
    <t>Release Year</t>
  </si>
  <si>
    <t>Duration</t>
  </si>
  <si>
    <t>Genre</t>
  </si>
  <si>
    <t>Titanic</t>
  </si>
  <si>
    <t>Inception</t>
  </si>
  <si>
    <t>Get Out</t>
  </si>
  <si>
    <t xml:space="preserve"> Heretic</t>
  </si>
  <si>
    <t>The Conjuring</t>
  </si>
  <si>
    <t>The Nun</t>
  </si>
  <si>
    <t>Oculus</t>
  </si>
  <si>
    <t>Sweet Home</t>
  </si>
  <si>
    <t>Trigger</t>
  </si>
  <si>
    <t>True Beauty</t>
  </si>
  <si>
    <t>Kanchana</t>
  </si>
  <si>
    <t>The Medium</t>
  </si>
  <si>
    <t>Death Wishperer</t>
  </si>
  <si>
    <t>Lucy</t>
  </si>
  <si>
    <t>The Wailing</t>
  </si>
  <si>
    <t>The Call</t>
  </si>
  <si>
    <t>Parasite</t>
  </si>
  <si>
    <t>Joker</t>
  </si>
  <si>
    <t>Intersteller</t>
  </si>
  <si>
    <t>The Avengers</t>
  </si>
  <si>
    <t>Big World</t>
  </si>
  <si>
    <t>Door Lock</t>
  </si>
  <si>
    <t>The Great Flood</t>
  </si>
  <si>
    <t>The Witch</t>
  </si>
  <si>
    <t>Noise</t>
  </si>
  <si>
    <t>Midnight</t>
  </si>
  <si>
    <t>Taali</t>
  </si>
  <si>
    <t>Brave Citizen</t>
  </si>
  <si>
    <t>Train to Bussan</t>
  </si>
  <si>
    <t>Incantation</t>
  </si>
  <si>
    <t>The Childe</t>
  </si>
  <si>
    <t>Alice in Borderland</t>
  </si>
  <si>
    <t>Forgotten</t>
  </si>
  <si>
    <t>Vincenzo</t>
  </si>
  <si>
    <t>The 8th Night</t>
  </si>
  <si>
    <t>Blind</t>
  </si>
  <si>
    <t>Sister Death</t>
  </si>
  <si>
    <t>Connect</t>
  </si>
  <si>
    <t>Ring</t>
  </si>
  <si>
    <t>All of Us are Dead</t>
  </si>
  <si>
    <t>Insidious</t>
  </si>
  <si>
    <t xml:space="preserve">ABCD </t>
  </si>
  <si>
    <t>Dangal</t>
  </si>
  <si>
    <t>Money Heist</t>
  </si>
  <si>
    <t>Stranger Things</t>
  </si>
  <si>
    <t>Squid Game</t>
  </si>
  <si>
    <t>India</t>
  </si>
  <si>
    <t>143 m</t>
  </si>
  <si>
    <t>Dance/Musical</t>
  </si>
  <si>
    <t>Movie</t>
  </si>
  <si>
    <t>Bhool Bhulaiyaa</t>
  </si>
  <si>
    <t>Horror/Comedy</t>
  </si>
  <si>
    <t>159 m</t>
  </si>
  <si>
    <t>148 m</t>
  </si>
  <si>
    <t>Sci-fi/Action</t>
  </si>
  <si>
    <t>194 m</t>
  </si>
  <si>
    <t>Romance/Adventure</t>
  </si>
  <si>
    <t>USA</t>
  </si>
  <si>
    <t>Horror/Mystery</t>
  </si>
  <si>
    <t>104 m</t>
  </si>
  <si>
    <t>Horror/Thriller</t>
  </si>
  <si>
    <t>111 m</t>
  </si>
  <si>
    <t>112 m</t>
  </si>
  <si>
    <t>96 m</t>
  </si>
  <si>
    <t>TV Show</t>
  </si>
  <si>
    <t>Korea</t>
  </si>
  <si>
    <t>3 Seasons</t>
  </si>
  <si>
    <t>Horror</t>
  </si>
  <si>
    <t>1 Season</t>
  </si>
  <si>
    <t>Action</t>
  </si>
  <si>
    <t>Romance</t>
  </si>
  <si>
    <t>Japan</t>
  </si>
  <si>
    <t>Spain</t>
  </si>
  <si>
    <t>China</t>
  </si>
  <si>
    <t>Thailand</t>
  </si>
  <si>
    <t>Taiwan</t>
  </si>
  <si>
    <t>Satan's Slave</t>
  </si>
  <si>
    <t>Indonesia</t>
  </si>
  <si>
    <t>107 m</t>
  </si>
  <si>
    <t>160 m</t>
  </si>
  <si>
    <t>Horrror/Comedy</t>
  </si>
  <si>
    <t>Horror/Fantasy</t>
  </si>
  <si>
    <t>131 m</t>
  </si>
  <si>
    <t>161 m</t>
  </si>
  <si>
    <t>89 m</t>
  </si>
  <si>
    <t>Malignant</t>
  </si>
  <si>
    <t>Horror/Action</t>
  </si>
  <si>
    <t>Exhuma</t>
  </si>
  <si>
    <t>174 m</t>
  </si>
  <si>
    <t>156 m</t>
  </si>
  <si>
    <t>Horror/Sci-fi</t>
  </si>
  <si>
    <t>Thriller/Comedy</t>
  </si>
  <si>
    <t>132 m</t>
  </si>
  <si>
    <t>Bloodhounds</t>
  </si>
  <si>
    <t>92 m</t>
  </si>
  <si>
    <t>Thriller</t>
  </si>
  <si>
    <t>103 m</t>
  </si>
  <si>
    <t>Biography</t>
  </si>
  <si>
    <t>Tumbbad</t>
  </si>
  <si>
    <t>The Exorcist</t>
  </si>
  <si>
    <t>Keeping Up with the Kardashians</t>
  </si>
  <si>
    <t>20 Seasons</t>
  </si>
  <si>
    <t>Reality</t>
  </si>
  <si>
    <t>Mystery</t>
  </si>
  <si>
    <t>Island</t>
  </si>
  <si>
    <t>Sport/Action</t>
  </si>
  <si>
    <t>Drama</t>
  </si>
  <si>
    <t>Thriller/Mystery</t>
  </si>
  <si>
    <t>Action/Thriller</t>
  </si>
  <si>
    <t>Horror/Documentary</t>
  </si>
  <si>
    <t>Action/Horror</t>
  </si>
  <si>
    <t>Action/Comedy</t>
  </si>
  <si>
    <t>Sci-fi/Drama</t>
  </si>
  <si>
    <t>Horror/Drama</t>
  </si>
  <si>
    <t>Drama/Family film</t>
  </si>
  <si>
    <t>Action/Adventure</t>
  </si>
  <si>
    <t>Sci-fi/Adventure</t>
  </si>
  <si>
    <t>Crime/Thriller</t>
  </si>
  <si>
    <t>122 m</t>
  </si>
  <si>
    <t>169 m</t>
  </si>
  <si>
    <t>2 Seasons</t>
  </si>
  <si>
    <t>102 m</t>
  </si>
  <si>
    <t>108 m</t>
  </si>
  <si>
    <t>93 m</t>
  </si>
  <si>
    <t>118 m</t>
  </si>
  <si>
    <t>109 m</t>
  </si>
  <si>
    <t>189 m</t>
  </si>
  <si>
    <t>115 m</t>
  </si>
  <si>
    <t>5 Seasons</t>
  </si>
  <si>
    <t>IMDb Rating</t>
  </si>
  <si>
    <t>Total Shows</t>
  </si>
  <si>
    <t>Total Movies</t>
  </si>
  <si>
    <t>Total TV Shows</t>
  </si>
  <si>
    <t>Average Rating</t>
  </si>
  <si>
    <t>Latest Year</t>
  </si>
  <si>
    <t>Row Labels</t>
  </si>
  <si>
    <t>Grand Total</t>
  </si>
  <si>
    <t>Count of Title</t>
  </si>
  <si>
    <t>Sum of IMDb Rating</t>
  </si>
  <si>
    <t xml:space="preserve">                              Genre Popularity</t>
  </si>
  <si>
    <t xml:space="preserve">                                              Avg Rating by Genre</t>
  </si>
  <si>
    <t xml:space="preserve">                                    Shows by Country</t>
  </si>
  <si>
    <t xml:space="preserve">                    Movies vs TV Shows</t>
  </si>
  <si>
    <t>Netflix Dashboard</t>
  </si>
  <si>
    <t xml:space="preserve">Total Shows: </t>
  </si>
  <si>
    <t>Total Movies:</t>
  </si>
  <si>
    <t xml:space="preserve">Average Rating: </t>
  </si>
  <si>
    <t xml:space="preserve">Total TV Shows: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</si>
</sst>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sz val="8"/>
      <name val="Aptos Narrow"/>
      <family val="2"/>
      <scheme val="minor"/>
    </font>
    <font>
      <b/>
      <sz val="18"/>
      <color theme="1"/>
      <name val="Aptos Narrow"/>
      <family val="2"/>
      <scheme val="minor"/>
    </font>
    <font>
      <sz val="11"/>
      <color theme="7" tint="0.59999389629810485"/>
      <name val="Aptos Narrow"/>
      <family val="2"/>
      <scheme val="minor"/>
    </font>
    <font>
      <b/>
      <sz val="22"/>
      <color theme="1"/>
      <name val="Aptos Narrow"/>
      <family val="2"/>
      <scheme val="minor"/>
    </font>
    <font>
      <b/>
      <sz val="22"/>
      <color theme="9" tint="0.39997558519241921"/>
      <name val="Aptos Narrow"/>
      <family val="2"/>
      <scheme val="minor"/>
    </font>
    <font>
      <b/>
      <sz val="24"/>
      <color theme="9" tint="-0.249977111117893"/>
      <name val="Algerian"/>
      <family val="5"/>
    </font>
    <font>
      <b/>
      <sz val="16"/>
      <color theme="9"/>
      <name val="Aptos Narrow"/>
      <family val="2"/>
      <scheme val="minor"/>
    </font>
    <font>
      <b/>
      <sz val="18"/>
      <color theme="9"/>
      <name val="Aptos Narrow"/>
      <family val="2"/>
      <scheme val="minor"/>
    </font>
    <font>
      <sz val="11"/>
      <color theme="9"/>
      <name val="Aptos Narrow"/>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theme="1"/>
      </right>
      <top/>
      <bottom style="thin">
        <color theme="1"/>
      </bottom>
      <diagonal/>
    </border>
    <border>
      <left/>
      <right style="thin">
        <color indexed="64"/>
      </right>
      <top style="thin">
        <color indexed="64"/>
      </top>
      <bottom/>
      <diagonal/>
    </border>
    <border>
      <left style="thin">
        <color theme="1"/>
      </left>
      <right/>
      <top/>
      <bottom style="thin">
        <color theme="1"/>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164" fontId="0" fillId="0" borderId="0" xfId="0" applyNumberFormat="1" applyAlignment="1">
      <alignment horizontal="center"/>
    </xf>
    <xf numFmtId="164" fontId="0" fillId="0" borderId="0" xfId="0" applyNumberFormat="1" applyAlignment="1">
      <alignment horizontal="center" vertical="center"/>
    </xf>
    <xf numFmtId="1" fontId="0" fillId="0" borderId="0" xfId="0" applyNumberFormat="1" applyAlignment="1">
      <alignment horizontal="center"/>
    </xf>
    <xf numFmtId="1" fontId="0" fillId="0" borderId="0" xfId="0" applyNumberForma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vertical="center"/>
    </xf>
    <xf numFmtId="0" fontId="2" fillId="0" borderId="1" xfId="0" pivotButton="1" applyFont="1" applyBorder="1" applyAlignment="1">
      <alignment horizontal="center"/>
    </xf>
    <xf numFmtId="0" fontId="2" fillId="0" borderId="1" xfId="0" applyFont="1" applyBorder="1" applyAlignment="1">
      <alignment horizontal="center"/>
    </xf>
    <xf numFmtId="164" fontId="2" fillId="0" borderId="1" xfId="0" applyNumberFormat="1" applyFont="1" applyBorder="1" applyAlignment="1">
      <alignment horizontal="center"/>
    </xf>
    <xf numFmtId="0" fontId="2" fillId="0" borderId="0" xfId="0" applyFont="1" applyAlignment="1">
      <alignment horizontal="center"/>
    </xf>
    <xf numFmtId="0" fontId="3" fillId="0" borderId="0" xfId="0" applyFont="1"/>
    <xf numFmtId="0" fontId="4" fillId="0" borderId="0" xfId="0" applyFont="1" applyAlignment="1">
      <alignment horizontal="center"/>
    </xf>
    <xf numFmtId="0" fontId="0" fillId="0" borderId="2" xfId="0" applyBorder="1"/>
    <xf numFmtId="0" fontId="4" fillId="0" borderId="3" xfId="0" applyFont="1" applyBorder="1" applyAlignment="1">
      <alignment horizontal="center"/>
    </xf>
    <xf numFmtId="0" fontId="4" fillId="0" borderId="2"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5" fillId="0" borderId="5" xfId="0" applyFont="1" applyBorder="1" applyAlignment="1">
      <alignment horizontal="center"/>
    </xf>
    <xf numFmtId="0" fontId="5" fillId="0" borderId="4" xfId="0" applyFont="1" applyBorder="1" applyAlignment="1">
      <alignment horizontal="center"/>
    </xf>
    <xf numFmtId="0" fontId="5" fillId="0" borderId="2" xfId="0" applyFont="1" applyBorder="1" applyAlignment="1">
      <alignment horizontal="center"/>
    </xf>
    <xf numFmtId="0" fontId="6" fillId="0" borderId="0" xfId="0" applyFont="1" applyAlignment="1">
      <alignment horizontal="center"/>
    </xf>
    <xf numFmtId="0" fontId="2" fillId="0" borderId="1" xfId="0" applyNumberFormat="1" applyFont="1" applyBorder="1" applyAlignment="1">
      <alignment horizontal="center"/>
    </xf>
    <xf numFmtId="0" fontId="8" fillId="0" borderId="0" xfId="0" applyFont="1" applyAlignment="1">
      <alignment horizontal="center"/>
    </xf>
    <xf numFmtId="0" fontId="8" fillId="0" borderId="0" xfId="0" applyFont="1"/>
    <xf numFmtId="0" fontId="9" fillId="0" borderId="0" xfId="0" applyFont="1" applyAlignment="1">
      <alignment horizontal="center"/>
    </xf>
    <xf numFmtId="1" fontId="9" fillId="0" borderId="0" xfId="0" applyNumberFormat="1" applyFont="1" applyAlignment="1">
      <alignment horizontal="center"/>
    </xf>
    <xf numFmtId="164" fontId="9" fillId="0" borderId="0" xfId="0" applyNumberFormat="1" applyFont="1" applyAlignment="1">
      <alignment horizontal="center"/>
    </xf>
    <xf numFmtId="0" fontId="7" fillId="2" borderId="9" xfId="0" applyFont="1" applyFill="1" applyBorder="1"/>
    <xf numFmtId="0" fontId="7" fillId="2" borderId="10" xfId="0" applyFont="1" applyFill="1" applyBorder="1" applyAlignment="1">
      <alignment horizontal="center"/>
    </xf>
    <xf numFmtId="0" fontId="7" fillId="2" borderId="11" xfId="0" applyFont="1" applyFill="1" applyBorder="1" applyAlignment="1">
      <alignment horizontal="center"/>
    </xf>
    <xf numFmtId="1" fontId="7" fillId="2" borderId="11" xfId="0" applyNumberFormat="1" applyFont="1" applyFill="1" applyBorder="1" applyAlignment="1">
      <alignment horizontal="center"/>
    </xf>
    <xf numFmtId="49" fontId="7" fillId="2" borderId="11" xfId="0" applyNumberFormat="1" applyFont="1" applyFill="1" applyBorder="1" applyAlignment="1">
      <alignment horizontal="center"/>
    </xf>
    <xf numFmtId="164" fontId="7" fillId="2" borderId="11" xfId="0" applyNumberFormat="1" applyFont="1" applyFill="1" applyBorder="1" applyAlignment="1">
      <alignment horizontal="center"/>
    </xf>
    <xf numFmtId="0" fontId="7" fillId="2" borderId="11" xfId="0" applyFont="1" applyFill="1" applyBorder="1"/>
    <xf numFmtId="0" fontId="7" fillId="2" borderId="10" xfId="0" applyFont="1" applyFill="1" applyBorder="1"/>
  </cellXfs>
  <cellStyles count="1">
    <cellStyle name="Normal" xfId="0" builtinId="0"/>
  </cellStyles>
  <dxfs count="1597">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8"/>
      </font>
    </dxf>
    <dxf>
      <font>
        <sz val="18"/>
      </font>
    </dxf>
    <dxf>
      <font>
        <sz val="18"/>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font>
        <sz val="18"/>
      </font>
    </dxf>
    <dxf>
      <font>
        <sz val="18"/>
      </font>
    </dxf>
    <dxf>
      <font>
        <sz val="18"/>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sz val="18"/>
      </font>
    </dxf>
    <dxf>
      <font>
        <sz val="18"/>
      </font>
    </dxf>
    <dxf>
      <font>
        <sz val="18"/>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Project.xlsx]Analysis!PivotTable1</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Movies</a:t>
            </a:r>
            <a:r>
              <a:rPr lang="en-US" sz="1600" b="1" baseline="0"/>
              <a:t> vs TV Shows</a:t>
            </a:r>
            <a:endParaRPr lang="en-US" sz="1600" b="1"/>
          </a:p>
        </c:rich>
      </c:tx>
      <c:layout>
        <c:manualLayout>
          <c:xMode val="edge"/>
          <c:yMode val="edge"/>
          <c:x val="0.22589430894308943"/>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25400">
            <a:solidFill>
              <a:schemeClr val="lt1"/>
            </a:solidFill>
          </a:ln>
          <a:effectLst/>
          <a:sp3d contourW="25400">
            <a:contourClr>
              <a:schemeClr val="lt1"/>
            </a:contourClr>
          </a:sp3d>
        </c:spPr>
      </c:pivotFmt>
      <c:pivotFmt>
        <c:idx val="2"/>
        <c:spPr>
          <a:solidFill>
            <a:schemeClr val="accent5">
              <a:shade val="7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Analysis!$C$3</c:f>
              <c:strCache>
                <c:ptCount val="1"/>
                <c:pt idx="0">
                  <c:v>Total</c:v>
                </c:pt>
              </c:strCache>
            </c:strRef>
          </c:tx>
          <c:dPt>
            <c:idx val="0"/>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86A-4BB6-AD94-203547D0229E}"/>
              </c:ext>
            </c:extLst>
          </c:dPt>
          <c:dPt>
            <c:idx val="1"/>
            <c:bubble3D val="0"/>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86A-4BB6-AD94-203547D02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Analysis!$B$4:$B$6</c:f>
              <c:strCache>
                <c:ptCount val="2"/>
                <c:pt idx="0">
                  <c:v>Movie</c:v>
                </c:pt>
                <c:pt idx="1">
                  <c:v>TV Show</c:v>
                </c:pt>
              </c:strCache>
            </c:strRef>
          </c:cat>
          <c:val>
            <c:numRef>
              <c:f>Analysis!$C$4:$C$6</c:f>
              <c:numCache>
                <c:formatCode>General</c:formatCode>
                <c:ptCount val="2"/>
                <c:pt idx="0">
                  <c:v>40</c:v>
                </c:pt>
                <c:pt idx="1">
                  <c:v>15</c:v>
                </c:pt>
              </c:numCache>
            </c:numRef>
          </c:val>
          <c:extLst>
            <c:ext xmlns:c16="http://schemas.microsoft.com/office/drawing/2014/chart" uri="{C3380CC4-5D6E-409C-BE32-E72D297353CC}">
              <c16:uniqueId val="{00000000-72F5-4CC8-BD45-E7F74CDADFF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Project.xlsx]Analysis!PivotTable2</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Shows</a:t>
            </a:r>
            <a:r>
              <a:rPr lang="en-US" sz="1600" b="1" baseline="0"/>
              <a:t> by Country</a:t>
            </a:r>
            <a:endParaRPr lang="en-US" sz="1600" b="1"/>
          </a:p>
        </c:rich>
      </c:tx>
      <c:layout>
        <c:manualLayout>
          <c:xMode val="edge"/>
          <c:yMode val="edge"/>
          <c:x val="0.32885620874252841"/>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Analysis!$E$4:$E$13</c:f>
              <c:strCache>
                <c:ptCount val="9"/>
                <c:pt idx="0">
                  <c:v>China</c:v>
                </c:pt>
                <c:pt idx="1">
                  <c:v>India</c:v>
                </c:pt>
                <c:pt idx="2">
                  <c:v>Indonesia</c:v>
                </c:pt>
                <c:pt idx="3">
                  <c:v>Japan</c:v>
                </c:pt>
                <c:pt idx="4">
                  <c:v>Korea</c:v>
                </c:pt>
                <c:pt idx="5">
                  <c:v>Spain</c:v>
                </c:pt>
                <c:pt idx="6">
                  <c:v>Taiwan</c:v>
                </c:pt>
                <c:pt idx="7">
                  <c:v>Thailand</c:v>
                </c:pt>
                <c:pt idx="8">
                  <c:v>USA</c:v>
                </c:pt>
              </c:strCache>
            </c:strRef>
          </c:cat>
          <c:val>
            <c:numRef>
              <c:f>Analysis!$F$4:$F$13</c:f>
              <c:numCache>
                <c:formatCode>General</c:formatCode>
                <c:ptCount val="9"/>
                <c:pt idx="0">
                  <c:v>1</c:v>
                </c:pt>
                <c:pt idx="1">
                  <c:v>6</c:v>
                </c:pt>
                <c:pt idx="2">
                  <c:v>1</c:v>
                </c:pt>
                <c:pt idx="3">
                  <c:v>2</c:v>
                </c:pt>
                <c:pt idx="4">
                  <c:v>23</c:v>
                </c:pt>
                <c:pt idx="5">
                  <c:v>2</c:v>
                </c:pt>
                <c:pt idx="6">
                  <c:v>1</c:v>
                </c:pt>
                <c:pt idx="7">
                  <c:v>2</c:v>
                </c:pt>
                <c:pt idx="8">
                  <c:v>17</c:v>
                </c:pt>
              </c:numCache>
            </c:numRef>
          </c:val>
          <c:extLst>
            <c:ext xmlns:c16="http://schemas.microsoft.com/office/drawing/2014/chart" uri="{C3380CC4-5D6E-409C-BE32-E72D297353CC}">
              <c16:uniqueId val="{00000000-3B1A-418F-8CE8-3E6B82EC7C07}"/>
            </c:ext>
          </c:extLst>
        </c:ser>
        <c:dLbls>
          <c:dLblPos val="outEnd"/>
          <c:showLegendKey val="0"/>
          <c:showVal val="1"/>
          <c:showCatName val="0"/>
          <c:showSerName val="0"/>
          <c:showPercent val="0"/>
          <c:showBubbleSize val="0"/>
        </c:dLbls>
        <c:gapWidth val="219"/>
        <c:overlap val="-27"/>
        <c:axId val="261087104"/>
        <c:axId val="500411056"/>
      </c:barChart>
      <c:catAx>
        <c:axId val="26108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11056"/>
        <c:crosses val="autoZero"/>
        <c:auto val="1"/>
        <c:lblAlgn val="ctr"/>
        <c:lblOffset val="100"/>
        <c:noMultiLvlLbl val="0"/>
      </c:catAx>
      <c:valAx>
        <c:axId val="50041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8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Project.xlsx]Analysis!PivotTable3</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Genre</a:t>
            </a:r>
            <a:r>
              <a:rPr lang="en-US" sz="1600" b="1" baseline="0"/>
              <a:t> Popularity</a:t>
            </a:r>
            <a:endParaRPr lang="en-US" sz="1600" b="1"/>
          </a:p>
        </c:rich>
      </c:tx>
      <c:layout>
        <c:manualLayout>
          <c:xMode val="edge"/>
          <c:yMode val="edge"/>
          <c:x val="0.33529847845801725"/>
          <c:y val="5.615129404667937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Analysis!$H$4:$H$35</c:f>
              <c:strCache>
                <c:ptCount val="31"/>
                <c:pt idx="0">
                  <c:v>Action</c:v>
                </c:pt>
                <c:pt idx="1">
                  <c:v>Action/Adventure</c:v>
                </c:pt>
                <c:pt idx="2">
                  <c:v>Action/Comedy</c:v>
                </c:pt>
                <c:pt idx="3">
                  <c:v>Action/Horror</c:v>
                </c:pt>
                <c:pt idx="4">
                  <c:v>Action/Thriller</c:v>
                </c:pt>
                <c:pt idx="5">
                  <c:v>Biography</c:v>
                </c:pt>
                <c:pt idx="6">
                  <c:v>Crime/Thriller</c:v>
                </c:pt>
                <c:pt idx="7">
                  <c:v>Dance/Musical</c:v>
                </c:pt>
                <c:pt idx="8">
                  <c:v>Drama</c:v>
                </c:pt>
                <c:pt idx="9">
                  <c:v>Drama/Family film</c:v>
                </c:pt>
                <c:pt idx="10">
                  <c:v>Horror</c:v>
                </c:pt>
                <c:pt idx="11">
                  <c:v>Horror/Action</c:v>
                </c:pt>
                <c:pt idx="12">
                  <c:v>Horror/Comedy</c:v>
                </c:pt>
                <c:pt idx="13">
                  <c:v>Horror/Documentary</c:v>
                </c:pt>
                <c:pt idx="14">
                  <c:v>Horror/Drama</c:v>
                </c:pt>
                <c:pt idx="15">
                  <c:v>Horror/Fantasy</c:v>
                </c:pt>
                <c:pt idx="16">
                  <c:v>Horror/Mystery</c:v>
                </c:pt>
                <c:pt idx="17">
                  <c:v>Horror/Sci-fi</c:v>
                </c:pt>
                <c:pt idx="18">
                  <c:v>Horror/Thriller</c:v>
                </c:pt>
                <c:pt idx="19">
                  <c:v>Horrror/Comedy</c:v>
                </c:pt>
                <c:pt idx="20">
                  <c:v>Mystery</c:v>
                </c:pt>
                <c:pt idx="21">
                  <c:v>Reality</c:v>
                </c:pt>
                <c:pt idx="22">
                  <c:v>Romance</c:v>
                </c:pt>
                <c:pt idx="23">
                  <c:v>Romance/Adventure</c:v>
                </c:pt>
                <c:pt idx="24">
                  <c:v>Sci-fi/Action</c:v>
                </c:pt>
                <c:pt idx="25">
                  <c:v>Sci-fi/Adventure</c:v>
                </c:pt>
                <c:pt idx="26">
                  <c:v>Sci-fi/Drama</c:v>
                </c:pt>
                <c:pt idx="27">
                  <c:v>Sport/Action</c:v>
                </c:pt>
                <c:pt idx="28">
                  <c:v>Thriller</c:v>
                </c:pt>
                <c:pt idx="29">
                  <c:v>Thriller/Comedy</c:v>
                </c:pt>
                <c:pt idx="30">
                  <c:v>Thriller/Mystery</c:v>
                </c:pt>
              </c:strCache>
            </c:strRef>
          </c:cat>
          <c:val>
            <c:numRef>
              <c:f>Analysis!$I$4:$I$35</c:f>
              <c:numCache>
                <c:formatCode>General</c:formatCode>
                <c:ptCount val="31"/>
                <c:pt idx="0">
                  <c:v>3</c:v>
                </c:pt>
                <c:pt idx="1">
                  <c:v>1</c:v>
                </c:pt>
                <c:pt idx="2">
                  <c:v>1</c:v>
                </c:pt>
                <c:pt idx="3">
                  <c:v>1</c:v>
                </c:pt>
                <c:pt idx="4">
                  <c:v>1</c:v>
                </c:pt>
                <c:pt idx="5">
                  <c:v>1</c:v>
                </c:pt>
                <c:pt idx="6">
                  <c:v>1</c:v>
                </c:pt>
                <c:pt idx="7">
                  <c:v>1</c:v>
                </c:pt>
                <c:pt idx="8">
                  <c:v>1</c:v>
                </c:pt>
                <c:pt idx="9">
                  <c:v>1</c:v>
                </c:pt>
                <c:pt idx="10">
                  <c:v>4</c:v>
                </c:pt>
                <c:pt idx="11">
                  <c:v>1</c:v>
                </c:pt>
                <c:pt idx="12">
                  <c:v>1</c:v>
                </c:pt>
                <c:pt idx="13">
                  <c:v>1</c:v>
                </c:pt>
                <c:pt idx="14">
                  <c:v>1</c:v>
                </c:pt>
                <c:pt idx="15">
                  <c:v>2</c:v>
                </c:pt>
                <c:pt idx="16">
                  <c:v>13</c:v>
                </c:pt>
                <c:pt idx="17">
                  <c:v>1</c:v>
                </c:pt>
                <c:pt idx="18">
                  <c:v>3</c:v>
                </c:pt>
                <c:pt idx="19">
                  <c:v>1</c:v>
                </c:pt>
                <c:pt idx="20">
                  <c:v>1</c:v>
                </c:pt>
                <c:pt idx="21">
                  <c:v>1</c:v>
                </c:pt>
                <c:pt idx="22">
                  <c:v>1</c:v>
                </c:pt>
                <c:pt idx="23">
                  <c:v>1</c:v>
                </c:pt>
                <c:pt idx="24">
                  <c:v>2</c:v>
                </c:pt>
                <c:pt idx="25">
                  <c:v>1</c:v>
                </c:pt>
                <c:pt idx="26">
                  <c:v>1</c:v>
                </c:pt>
                <c:pt idx="27">
                  <c:v>1</c:v>
                </c:pt>
                <c:pt idx="28">
                  <c:v>4</c:v>
                </c:pt>
                <c:pt idx="29">
                  <c:v>1</c:v>
                </c:pt>
                <c:pt idx="30">
                  <c:v>1</c:v>
                </c:pt>
              </c:numCache>
            </c:numRef>
          </c:val>
          <c:extLst>
            <c:ext xmlns:c16="http://schemas.microsoft.com/office/drawing/2014/chart" uri="{C3380CC4-5D6E-409C-BE32-E72D297353CC}">
              <c16:uniqueId val="{00000000-6981-42F4-A88A-0392EA984A1F}"/>
            </c:ext>
          </c:extLst>
        </c:ser>
        <c:dLbls>
          <c:dLblPos val="outEnd"/>
          <c:showLegendKey val="0"/>
          <c:showVal val="1"/>
          <c:showCatName val="0"/>
          <c:showSerName val="0"/>
          <c:showPercent val="0"/>
          <c:showBubbleSize val="0"/>
        </c:dLbls>
        <c:gapWidth val="182"/>
        <c:axId val="514341872"/>
        <c:axId val="514340432"/>
      </c:barChart>
      <c:catAx>
        <c:axId val="5143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40432"/>
        <c:crosses val="autoZero"/>
        <c:auto val="1"/>
        <c:lblAlgn val="ctr"/>
        <c:lblOffset val="100"/>
        <c:noMultiLvlLbl val="0"/>
      </c:catAx>
      <c:valAx>
        <c:axId val="51434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4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Project.xlsx]Analysis!PivotTable4</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Avg</a:t>
            </a:r>
            <a:r>
              <a:rPr lang="en-US" sz="1600" b="1" baseline="0"/>
              <a:t> Rating by Genre</a:t>
            </a:r>
            <a:endParaRPr lang="en-US" sz="1600" b="1"/>
          </a:p>
        </c:rich>
      </c:tx>
      <c:layout>
        <c:manualLayout>
          <c:xMode val="edge"/>
          <c:yMode val="edge"/>
          <c:x val="0.35530226060452119"/>
          <c:y val="4.695695741520682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Analysis!$L$3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Analysis!$K$4:$K$35</c:f>
              <c:strCache>
                <c:ptCount val="31"/>
                <c:pt idx="0">
                  <c:v>Action</c:v>
                </c:pt>
                <c:pt idx="1">
                  <c:v>Action/Adventure</c:v>
                </c:pt>
                <c:pt idx="2">
                  <c:v>Action/Comedy</c:v>
                </c:pt>
                <c:pt idx="3">
                  <c:v>Action/Horror</c:v>
                </c:pt>
                <c:pt idx="4">
                  <c:v>Action/Thriller</c:v>
                </c:pt>
                <c:pt idx="5">
                  <c:v>Biography</c:v>
                </c:pt>
                <c:pt idx="6">
                  <c:v>Crime/Thriller</c:v>
                </c:pt>
                <c:pt idx="7">
                  <c:v>Dance/Musical</c:v>
                </c:pt>
                <c:pt idx="8">
                  <c:v>Drama</c:v>
                </c:pt>
                <c:pt idx="9">
                  <c:v>Drama/Family film</c:v>
                </c:pt>
                <c:pt idx="10">
                  <c:v>Horror</c:v>
                </c:pt>
                <c:pt idx="11">
                  <c:v>Horror/Action</c:v>
                </c:pt>
                <c:pt idx="12">
                  <c:v>Horror/Comedy</c:v>
                </c:pt>
                <c:pt idx="13">
                  <c:v>Horror/Documentary</c:v>
                </c:pt>
                <c:pt idx="14">
                  <c:v>Horror/Drama</c:v>
                </c:pt>
                <c:pt idx="15">
                  <c:v>Horror/Fantasy</c:v>
                </c:pt>
                <c:pt idx="16">
                  <c:v>Horror/Mystery</c:v>
                </c:pt>
                <c:pt idx="17">
                  <c:v>Horror/Sci-fi</c:v>
                </c:pt>
                <c:pt idx="18">
                  <c:v>Horror/Thriller</c:v>
                </c:pt>
                <c:pt idx="19">
                  <c:v>Horrror/Comedy</c:v>
                </c:pt>
                <c:pt idx="20">
                  <c:v>Mystery</c:v>
                </c:pt>
                <c:pt idx="21">
                  <c:v>Reality</c:v>
                </c:pt>
                <c:pt idx="22">
                  <c:v>Romance</c:v>
                </c:pt>
                <c:pt idx="23">
                  <c:v>Romance/Adventure</c:v>
                </c:pt>
                <c:pt idx="24">
                  <c:v>Sci-fi/Action</c:v>
                </c:pt>
                <c:pt idx="25">
                  <c:v>Sci-fi/Adventure</c:v>
                </c:pt>
                <c:pt idx="26">
                  <c:v>Sci-fi/Drama</c:v>
                </c:pt>
                <c:pt idx="27">
                  <c:v>Sport/Action</c:v>
                </c:pt>
                <c:pt idx="28">
                  <c:v>Thriller</c:v>
                </c:pt>
                <c:pt idx="29">
                  <c:v>Thriller/Comedy</c:v>
                </c:pt>
                <c:pt idx="30">
                  <c:v>Thriller/Mystery</c:v>
                </c:pt>
              </c:strCache>
            </c:strRef>
          </c:cat>
          <c:val>
            <c:numRef>
              <c:f>Analysis!$L$4:$L$35</c:f>
              <c:numCache>
                <c:formatCode>0.0</c:formatCode>
                <c:ptCount val="31"/>
                <c:pt idx="0">
                  <c:v>22.3</c:v>
                </c:pt>
                <c:pt idx="1">
                  <c:v>8</c:v>
                </c:pt>
                <c:pt idx="2">
                  <c:v>6.6</c:v>
                </c:pt>
                <c:pt idx="3">
                  <c:v>7.6</c:v>
                </c:pt>
                <c:pt idx="4">
                  <c:v>6.9</c:v>
                </c:pt>
                <c:pt idx="5">
                  <c:v>7.8</c:v>
                </c:pt>
                <c:pt idx="6">
                  <c:v>8.3000000000000007</c:v>
                </c:pt>
                <c:pt idx="7">
                  <c:v>6.3</c:v>
                </c:pt>
                <c:pt idx="8">
                  <c:v>8.4</c:v>
                </c:pt>
                <c:pt idx="9">
                  <c:v>7.5</c:v>
                </c:pt>
                <c:pt idx="10">
                  <c:v>29.9</c:v>
                </c:pt>
                <c:pt idx="11">
                  <c:v>6.2</c:v>
                </c:pt>
                <c:pt idx="12">
                  <c:v>7.5</c:v>
                </c:pt>
                <c:pt idx="13">
                  <c:v>6.3</c:v>
                </c:pt>
                <c:pt idx="14">
                  <c:v>6.4</c:v>
                </c:pt>
                <c:pt idx="15">
                  <c:v>14.7</c:v>
                </c:pt>
                <c:pt idx="16">
                  <c:v>88.3</c:v>
                </c:pt>
                <c:pt idx="17">
                  <c:v>7.1</c:v>
                </c:pt>
                <c:pt idx="18">
                  <c:v>18.600000000000001</c:v>
                </c:pt>
                <c:pt idx="19">
                  <c:v>6.7</c:v>
                </c:pt>
                <c:pt idx="20">
                  <c:v>8</c:v>
                </c:pt>
                <c:pt idx="21">
                  <c:v>2.9</c:v>
                </c:pt>
                <c:pt idx="22">
                  <c:v>7.9</c:v>
                </c:pt>
                <c:pt idx="23">
                  <c:v>8</c:v>
                </c:pt>
                <c:pt idx="24">
                  <c:v>15.200000000000001</c:v>
                </c:pt>
                <c:pt idx="25">
                  <c:v>8.6999999999999993</c:v>
                </c:pt>
                <c:pt idx="26">
                  <c:v>5.4</c:v>
                </c:pt>
                <c:pt idx="27">
                  <c:v>8.3000000000000007</c:v>
                </c:pt>
                <c:pt idx="28">
                  <c:v>30.4</c:v>
                </c:pt>
                <c:pt idx="29">
                  <c:v>8.5</c:v>
                </c:pt>
                <c:pt idx="30">
                  <c:v>7.4</c:v>
                </c:pt>
              </c:numCache>
            </c:numRef>
          </c:val>
          <c:extLst>
            <c:ext xmlns:c16="http://schemas.microsoft.com/office/drawing/2014/chart" uri="{C3380CC4-5D6E-409C-BE32-E72D297353CC}">
              <c16:uniqueId val="{00000000-ABA9-46BC-8976-67D8732812E9}"/>
            </c:ext>
          </c:extLst>
        </c:ser>
        <c:dLbls>
          <c:showLegendKey val="0"/>
          <c:showVal val="1"/>
          <c:showCatName val="0"/>
          <c:showSerName val="0"/>
          <c:showPercent val="0"/>
          <c:showBubbleSize val="0"/>
        </c:dLbls>
        <c:gapWidth val="150"/>
        <c:shape val="box"/>
        <c:axId val="502072864"/>
        <c:axId val="502073824"/>
        <c:axId val="0"/>
      </c:bar3DChart>
      <c:catAx>
        <c:axId val="50207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73824"/>
        <c:crosses val="autoZero"/>
        <c:auto val="1"/>
        <c:lblAlgn val="ctr"/>
        <c:lblOffset val="100"/>
        <c:noMultiLvlLbl val="0"/>
      </c:catAx>
      <c:valAx>
        <c:axId val="5020738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7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Project.xlsx]Analysis!PivotTable1</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Movies</a:t>
            </a:r>
            <a:r>
              <a:rPr lang="en-US" sz="1600" b="1" baseline="0"/>
              <a:t> vs TV Shows</a:t>
            </a:r>
            <a:endParaRPr lang="en-US" sz="1600" b="1"/>
          </a:p>
        </c:rich>
      </c:tx>
      <c:layout>
        <c:manualLayout>
          <c:xMode val="edge"/>
          <c:yMode val="edge"/>
          <c:x val="0.22589430894308943"/>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25400">
            <a:solidFill>
              <a:schemeClr val="lt1"/>
            </a:solidFill>
          </a:ln>
          <a:effectLst/>
          <a:sp3d contourW="25400">
            <a:contourClr>
              <a:schemeClr val="lt1"/>
            </a:contourClr>
          </a:sp3d>
        </c:spPr>
      </c:pivotFmt>
      <c:pivotFmt>
        <c:idx val="2"/>
        <c:spPr>
          <a:solidFill>
            <a:schemeClr val="accent5">
              <a:shade val="76000"/>
            </a:schemeClr>
          </a:solidFill>
          <a:ln w="25400">
            <a:solidFill>
              <a:schemeClr val="lt1"/>
            </a:solidFill>
          </a:ln>
          <a:effectLst/>
          <a:sp3d contourW="25400">
            <a:contourClr>
              <a:schemeClr val="lt1"/>
            </a:contourClr>
          </a:sp3d>
        </c:spPr>
      </c:pivotFmt>
      <c:pivotFmt>
        <c:idx val="3"/>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tint val="77000"/>
            </a:schemeClr>
          </a:solidFill>
          <a:ln w="25400">
            <a:solidFill>
              <a:schemeClr val="lt1"/>
            </a:solidFill>
          </a:ln>
          <a:effectLst/>
          <a:sp3d contourW="25400">
            <a:contourClr>
              <a:schemeClr val="lt1"/>
            </a:contourClr>
          </a:sp3d>
        </c:spPr>
      </c:pivotFmt>
      <c:pivotFmt>
        <c:idx val="5"/>
        <c:spPr>
          <a:solidFill>
            <a:schemeClr val="accent5">
              <a:shade val="76000"/>
            </a:schemeClr>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tint val="77000"/>
            </a:schemeClr>
          </a:solidFill>
          <a:ln w="25400">
            <a:solidFill>
              <a:schemeClr val="lt1"/>
            </a:solidFill>
          </a:ln>
          <a:effectLst/>
          <a:sp3d contourW="25400">
            <a:contourClr>
              <a:schemeClr val="lt1"/>
            </a:contourClr>
          </a:sp3d>
        </c:spPr>
      </c:pivotFmt>
      <c:pivotFmt>
        <c:idx val="8"/>
        <c:spPr>
          <a:solidFill>
            <a:schemeClr val="accent5">
              <a:shade val="7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Analysis!$C$3</c:f>
              <c:strCache>
                <c:ptCount val="1"/>
                <c:pt idx="0">
                  <c:v>Total</c:v>
                </c:pt>
              </c:strCache>
            </c:strRef>
          </c:tx>
          <c:dPt>
            <c:idx val="0"/>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47A-4F15-8634-5899FFA4D607}"/>
              </c:ext>
            </c:extLst>
          </c:dPt>
          <c:dPt>
            <c:idx val="1"/>
            <c:bubble3D val="0"/>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47A-4F15-8634-5899FFA4D6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Analysis!$B$4:$B$6</c:f>
              <c:strCache>
                <c:ptCount val="2"/>
                <c:pt idx="0">
                  <c:v>Movie</c:v>
                </c:pt>
                <c:pt idx="1">
                  <c:v>TV Show</c:v>
                </c:pt>
              </c:strCache>
            </c:strRef>
          </c:cat>
          <c:val>
            <c:numRef>
              <c:f>Analysis!$C$4:$C$6</c:f>
              <c:numCache>
                <c:formatCode>General</c:formatCode>
                <c:ptCount val="2"/>
                <c:pt idx="0">
                  <c:v>40</c:v>
                </c:pt>
                <c:pt idx="1">
                  <c:v>15</c:v>
                </c:pt>
              </c:numCache>
            </c:numRef>
          </c:val>
          <c:extLst>
            <c:ext xmlns:c16="http://schemas.microsoft.com/office/drawing/2014/chart" uri="{C3380CC4-5D6E-409C-BE32-E72D297353CC}">
              <c16:uniqueId val="{00000004-447A-4F15-8634-5899FFA4D60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Project.xlsx]Analysis!PivotTable2</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Shows</a:t>
            </a:r>
            <a:r>
              <a:rPr lang="en-US" sz="1600" b="1" baseline="0"/>
              <a:t> by Country</a:t>
            </a:r>
            <a:endParaRPr lang="en-US" sz="1600" b="1"/>
          </a:p>
        </c:rich>
      </c:tx>
      <c:layout>
        <c:manualLayout>
          <c:xMode val="edge"/>
          <c:yMode val="edge"/>
          <c:x val="0.32885620874252841"/>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Analysis!$E$4:$E$13</c:f>
              <c:strCache>
                <c:ptCount val="9"/>
                <c:pt idx="0">
                  <c:v>China</c:v>
                </c:pt>
                <c:pt idx="1">
                  <c:v>India</c:v>
                </c:pt>
                <c:pt idx="2">
                  <c:v>Indonesia</c:v>
                </c:pt>
                <c:pt idx="3">
                  <c:v>Japan</c:v>
                </c:pt>
                <c:pt idx="4">
                  <c:v>Korea</c:v>
                </c:pt>
                <c:pt idx="5">
                  <c:v>Spain</c:v>
                </c:pt>
                <c:pt idx="6">
                  <c:v>Taiwan</c:v>
                </c:pt>
                <c:pt idx="7">
                  <c:v>Thailand</c:v>
                </c:pt>
                <c:pt idx="8">
                  <c:v>USA</c:v>
                </c:pt>
              </c:strCache>
            </c:strRef>
          </c:cat>
          <c:val>
            <c:numRef>
              <c:f>Analysis!$F$4:$F$13</c:f>
              <c:numCache>
                <c:formatCode>General</c:formatCode>
                <c:ptCount val="9"/>
                <c:pt idx="0">
                  <c:v>1</c:v>
                </c:pt>
                <c:pt idx="1">
                  <c:v>6</c:v>
                </c:pt>
                <c:pt idx="2">
                  <c:v>1</c:v>
                </c:pt>
                <c:pt idx="3">
                  <c:v>2</c:v>
                </c:pt>
                <c:pt idx="4">
                  <c:v>23</c:v>
                </c:pt>
                <c:pt idx="5">
                  <c:v>2</c:v>
                </c:pt>
                <c:pt idx="6">
                  <c:v>1</c:v>
                </c:pt>
                <c:pt idx="7">
                  <c:v>2</c:v>
                </c:pt>
                <c:pt idx="8">
                  <c:v>17</c:v>
                </c:pt>
              </c:numCache>
            </c:numRef>
          </c:val>
          <c:extLst>
            <c:ext xmlns:c16="http://schemas.microsoft.com/office/drawing/2014/chart" uri="{C3380CC4-5D6E-409C-BE32-E72D297353CC}">
              <c16:uniqueId val="{00000000-9FC9-4958-B2CD-BE3E4C11C245}"/>
            </c:ext>
          </c:extLst>
        </c:ser>
        <c:dLbls>
          <c:dLblPos val="outEnd"/>
          <c:showLegendKey val="0"/>
          <c:showVal val="1"/>
          <c:showCatName val="0"/>
          <c:showSerName val="0"/>
          <c:showPercent val="0"/>
          <c:showBubbleSize val="0"/>
        </c:dLbls>
        <c:gapWidth val="219"/>
        <c:overlap val="-27"/>
        <c:axId val="261087104"/>
        <c:axId val="500411056"/>
      </c:barChart>
      <c:catAx>
        <c:axId val="26108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11056"/>
        <c:crosses val="autoZero"/>
        <c:auto val="1"/>
        <c:lblAlgn val="ctr"/>
        <c:lblOffset val="100"/>
        <c:noMultiLvlLbl val="0"/>
      </c:catAx>
      <c:valAx>
        <c:axId val="50041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8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Project.xlsx]Analysis!PivotTable3</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Genre</a:t>
            </a:r>
            <a:r>
              <a:rPr lang="en-US" sz="1600" b="1" baseline="0"/>
              <a:t> Popularity</a:t>
            </a:r>
            <a:endParaRPr lang="en-US" sz="1600" b="1"/>
          </a:p>
        </c:rich>
      </c:tx>
      <c:layout>
        <c:manualLayout>
          <c:xMode val="edge"/>
          <c:yMode val="edge"/>
          <c:x val="0.33529847845801725"/>
          <c:y val="5.615129404667937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Analysis!$H$4:$H$35</c:f>
              <c:strCache>
                <c:ptCount val="31"/>
                <c:pt idx="0">
                  <c:v>Action</c:v>
                </c:pt>
                <c:pt idx="1">
                  <c:v>Action/Adventure</c:v>
                </c:pt>
                <c:pt idx="2">
                  <c:v>Action/Comedy</c:v>
                </c:pt>
                <c:pt idx="3">
                  <c:v>Action/Horror</c:v>
                </c:pt>
                <c:pt idx="4">
                  <c:v>Action/Thriller</c:v>
                </c:pt>
                <c:pt idx="5">
                  <c:v>Biography</c:v>
                </c:pt>
                <c:pt idx="6">
                  <c:v>Crime/Thriller</c:v>
                </c:pt>
                <c:pt idx="7">
                  <c:v>Dance/Musical</c:v>
                </c:pt>
                <c:pt idx="8">
                  <c:v>Drama</c:v>
                </c:pt>
                <c:pt idx="9">
                  <c:v>Drama/Family film</c:v>
                </c:pt>
                <c:pt idx="10">
                  <c:v>Horror</c:v>
                </c:pt>
                <c:pt idx="11">
                  <c:v>Horror/Action</c:v>
                </c:pt>
                <c:pt idx="12">
                  <c:v>Horror/Comedy</c:v>
                </c:pt>
                <c:pt idx="13">
                  <c:v>Horror/Documentary</c:v>
                </c:pt>
                <c:pt idx="14">
                  <c:v>Horror/Drama</c:v>
                </c:pt>
                <c:pt idx="15">
                  <c:v>Horror/Fantasy</c:v>
                </c:pt>
                <c:pt idx="16">
                  <c:v>Horror/Mystery</c:v>
                </c:pt>
                <c:pt idx="17">
                  <c:v>Horror/Sci-fi</c:v>
                </c:pt>
                <c:pt idx="18">
                  <c:v>Horror/Thriller</c:v>
                </c:pt>
                <c:pt idx="19">
                  <c:v>Horrror/Comedy</c:v>
                </c:pt>
                <c:pt idx="20">
                  <c:v>Mystery</c:v>
                </c:pt>
                <c:pt idx="21">
                  <c:v>Reality</c:v>
                </c:pt>
                <c:pt idx="22">
                  <c:v>Romance</c:v>
                </c:pt>
                <c:pt idx="23">
                  <c:v>Romance/Adventure</c:v>
                </c:pt>
                <c:pt idx="24">
                  <c:v>Sci-fi/Action</c:v>
                </c:pt>
                <c:pt idx="25">
                  <c:v>Sci-fi/Adventure</c:v>
                </c:pt>
                <c:pt idx="26">
                  <c:v>Sci-fi/Drama</c:v>
                </c:pt>
                <c:pt idx="27">
                  <c:v>Sport/Action</c:v>
                </c:pt>
                <c:pt idx="28">
                  <c:v>Thriller</c:v>
                </c:pt>
                <c:pt idx="29">
                  <c:v>Thriller/Comedy</c:v>
                </c:pt>
                <c:pt idx="30">
                  <c:v>Thriller/Mystery</c:v>
                </c:pt>
              </c:strCache>
            </c:strRef>
          </c:cat>
          <c:val>
            <c:numRef>
              <c:f>Analysis!$I$4:$I$35</c:f>
              <c:numCache>
                <c:formatCode>General</c:formatCode>
                <c:ptCount val="31"/>
                <c:pt idx="0">
                  <c:v>3</c:v>
                </c:pt>
                <c:pt idx="1">
                  <c:v>1</c:v>
                </c:pt>
                <c:pt idx="2">
                  <c:v>1</c:v>
                </c:pt>
                <c:pt idx="3">
                  <c:v>1</c:v>
                </c:pt>
                <c:pt idx="4">
                  <c:v>1</c:v>
                </c:pt>
                <c:pt idx="5">
                  <c:v>1</c:v>
                </c:pt>
                <c:pt idx="6">
                  <c:v>1</c:v>
                </c:pt>
                <c:pt idx="7">
                  <c:v>1</c:v>
                </c:pt>
                <c:pt idx="8">
                  <c:v>1</c:v>
                </c:pt>
                <c:pt idx="9">
                  <c:v>1</c:v>
                </c:pt>
                <c:pt idx="10">
                  <c:v>4</c:v>
                </c:pt>
                <c:pt idx="11">
                  <c:v>1</c:v>
                </c:pt>
                <c:pt idx="12">
                  <c:v>1</c:v>
                </c:pt>
                <c:pt idx="13">
                  <c:v>1</c:v>
                </c:pt>
                <c:pt idx="14">
                  <c:v>1</c:v>
                </c:pt>
                <c:pt idx="15">
                  <c:v>2</c:v>
                </c:pt>
                <c:pt idx="16">
                  <c:v>13</c:v>
                </c:pt>
                <c:pt idx="17">
                  <c:v>1</c:v>
                </c:pt>
                <c:pt idx="18">
                  <c:v>3</c:v>
                </c:pt>
                <c:pt idx="19">
                  <c:v>1</c:v>
                </c:pt>
                <c:pt idx="20">
                  <c:v>1</c:v>
                </c:pt>
                <c:pt idx="21">
                  <c:v>1</c:v>
                </c:pt>
                <c:pt idx="22">
                  <c:v>1</c:v>
                </c:pt>
                <c:pt idx="23">
                  <c:v>1</c:v>
                </c:pt>
                <c:pt idx="24">
                  <c:v>2</c:v>
                </c:pt>
                <c:pt idx="25">
                  <c:v>1</c:v>
                </c:pt>
                <c:pt idx="26">
                  <c:v>1</c:v>
                </c:pt>
                <c:pt idx="27">
                  <c:v>1</c:v>
                </c:pt>
                <c:pt idx="28">
                  <c:v>4</c:v>
                </c:pt>
                <c:pt idx="29">
                  <c:v>1</c:v>
                </c:pt>
                <c:pt idx="30">
                  <c:v>1</c:v>
                </c:pt>
              </c:numCache>
            </c:numRef>
          </c:val>
          <c:extLst>
            <c:ext xmlns:c16="http://schemas.microsoft.com/office/drawing/2014/chart" uri="{C3380CC4-5D6E-409C-BE32-E72D297353CC}">
              <c16:uniqueId val="{00000000-2E0B-443B-ADA0-94EBF2CFC7E3}"/>
            </c:ext>
          </c:extLst>
        </c:ser>
        <c:dLbls>
          <c:dLblPos val="outEnd"/>
          <c:showLegendKey val="0"/>
          <c:showVal val="1"/>
          <c:showCatName val="0"/>
          <c:showSerName val="0"/>
          <c:showPercent val="0"/>
          <c:showBubbleSize val="0"/>
        </c:dLbls>
        <c:gapWidth val="182"/>
        <c:axId val="514341872"/>
        <c:axId val="514340432"/>
      </c:barChart>
      <c:catAx>
        <c:axId val="5143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14340432"/>
        <c:crosses val="autoZero"/>
        <c:auto val="1"/>
        <c:lblAlgn val="ctr"/>
        <c:lblOffset val="100"/>
        <c:noMultiLvlLbl val="0"/>
      </c:catAx>
      <c:valAx>
        <c:axId val="51434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4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Project.xlsx]Analysis!PivotTable4</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Avg</a:t>
            </a:r>
            <a:r>
              <a:rPr lang="en-US" sz="1600" b="1" baseline="0"/>
              <a:t> Rating by Genre</a:t>
            </a:r>
            <a:endParaRPr lang="en-US" sz="1600" b="1"/>
          </a:p>
        </c:rich>
      </c:tx>
      <c:layout>
        <c:manualLayout>
          <c:xMode val="edge"/>
          <c:yMode val="edge"/>
          <c:x val="0.35530226060452119"/>
          <c:y val="4.695695741520682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Analysis!$L$3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Analysis!$K$4:$K$35</c:f>
              <c:strCache>
                <c:ptCount val="31"/>
                <c:pt idx="0">
                  <c:v>Action</c:v>
                </c:pt>
                <c:pt idx="1">
                  <c:v>Action/Adventure</c:v>
                </c:pt>
                <c:pt idx="2">
                  <c:v>Action/Comedy</c:v>
                </c:pt>
                <c:pt idx="3">
                  <c:v>Action/Horror</c:v>
                </c:pt>
                <c:pt idx="4">
                  <c:v>Action/Thriller</c:v>
                </c:pt>
                <c:pt idx="5">
                  <c:v>Biography</c:v>
                </c:pt>
                <c:pt idx="6">
                  <c:v>Crime/Thriller</c:v>
                </c:pt>
                <c:pt idx="7">
                  <c:v>Dance/Musical</c:v>
                </c:pt>
                <c:pt idx="8">
                  <c:v>Drama</c:v>
                </c:pt>
                <c:pt idx="9">
                  <c:v>Drama/Family film</c:v>
                </c:pt>
                <c:pt idx="10">
                  <c:v>Horror</c:v>
                </c:pt>
                <c:pt idx="11">
                  <c:v>Horror/Action</c:v>
                </c:pt>
                <c:pt idx="12">
                  <c:v>Horror/Comedy</c:v>
                </c:pt>
                <c:pt idx="13">
                  <c:v>Horror/Documentary</c:v>
                </c:pt>
                <c:pt idx="14">
                  <c:v>Horror/Drama</c:v>
                </c:pt>
                <c:pt idx="15">
                  <c:v>Horror/Fantasy</c:v>
                </c:pt>
                <c:pt idx="16">
                  <c:v>Horror/Mystery</c:v>
                </c:pt>
                <c:pt idx="17">
                  <c:v>Horror/Sci-fi</c:v>
                </c:pt>
                <c:pt idx="18">
                  <c:v>Horror/Thriller</c:v>
                </c:pt>
                <c:pt idx="19">
                  <c:v>Horrror/Comedy</c:v>
                </c:pt>
                <c:pt idx="20">
                  <c:v>Mystery</c:v>
                </c:pt>
                <c:pt idx="21">
                  <c:v>Reality</c:v>
                </c:pt>
                <c:pt idx="22">
                  <c:v>Romance</c:v>
                </c:pt>
                <c:pt idx="23">
                  <c:v>Romance/Adventure</c:v>
                </c:pt>
                <c:pt idx="24">
                  <c:v>Sci-fi/Action</c:v>
                </c:pt>
                <c:pt idx="25">
                  <c:v>Sci-fi/Adventure</c:v>
                </c:pt>
                <c:pt idx="26">
                  <c:v>Sci-fi/Drama</c:v>
                </c:pt>
                <c:pt idx="27">
                  <c:v>Sport/Action</c:v>
                </c:pt>
                <c:pt idx="28">
                  <c:v>Thriller</c:v>
                </c:pt>
                <c:pt idx="29">
                  <c:v>Thriller/Comedy</c:v>
                </c:pt>
                <c:pt idx="30">
                  <c:v>Thriller/Mystery</c:v>
                </c:pt>
              </c:strCache>
            </c:strRef>
          </c:cat>
          <c:val>
            <c:numRef>
              <c:f>Analysis!$L$4:$L$35</c:f>
              <c:numCache>
                <c:formatCode>0.0</c:formatCode>
                <c:ptCount val="31"/>
                <c:pt idx="0">
                  <c:v>22.3</c:v>
                </c:pt>
                <c:pt idx="1">
                  <c:v>8</c:v>
                </c:pt>
                <c:pt idx="2">
                  <c:v>6.6</c:v>
                </c:pt>
                <c:pt idx="3">
                  <c:v>7.6</c:v>
                </c:pt>
                <c:pt idx="4">
                  <c:v>6.9</c:v>
                </c:pt>
                <c:pt idx="5">
                  <c:v>7.8</c:v>
                </c:pt>
                <c:pt idx="6">
                  <c:v>8.3000000000000007</c:v>
                </c:pt>
                <c:pt idx="7">
                  <c:v>6.3</c:v>
                </c:pt>
                <c:pt idx="8">
                  <c:v>8.4</c:v>
                </c:pt>
                <c:pt idx="9">
                  <c:v>7.5</c:v>
                </c:pt>
                <c:pt idx="10">
                  <c:v>29.9</c:v>
                </c:pt>
                <c:pt idx="11">
                  <c:v>6.2</c:v>
                </c:pt>
                <c:pt idx="12">
                  <c:v>7.5</c:v>
                </c:pt>
                <c:pt idx="13">
                  <c:v>6.3</c:v>
                </c:pt>
                <c:pt idx="14">
                  <c:v>6.4</c:v>
                </c:pt>
                <c:pt idx="15">
                  <c:v>14.7</c:v>
                </c:pt>
                <c:pt idx="16">
                  <c:v>88.3</c:v>
                </c:pt>
                <c:pt idx="17">
                  <c:v>7.1</c:v>
                </c:pt>
                <c:pt idx="18">
                  <c:v>18.600000000000001</c:v>
                </c:pt>
                <c:pt idx="19">
                  <c:v>6.7</c:v>
                </c:pt>
                <c:pt idx="20">
                  <c:v>8</c:v>
                </c:pt>
                <c:pt idx="21">
                  <c:v>2.9</c:v>
                </c:pt>
                <c:pt idx="22">
                  <c:v>7.9</c:v>
                </c:pt>
                <c:pt idx="23">
                  <c:v>8</c:v>
                </c:pt>
                <c:pt idx="24">
                  <c:v>15.200000000000001</c:v>
                </c:pt>
                <c:pt idx="25">
                  <c:v>8.6999999999999993</c:v>
                </c:pt>
                <c:pt idx="26">
                  <c:v>5.4</c:v>
                </c:pt>
                <c:pt idx="27">
                  <c:v>8.3000000000000007</c:v>
                </c:pt>
                <c:pt idx="28">
                  <c:v>30.4</c:v>
                </c:pt>
                <c:pt idx="29">
                  <c:v>8.5</c:v>
                </c:pt>
                <c:pt idx="30">
                  <c:v>7.4</c:v>
                </c:pt>
              </c:numCache>
            </c:numRef>
          </c:val>
          <c:extLst>
            <c:ext xmlns:c16="http://schemas.microsoft.com/office/drawing/2014/chart" uri="{C3380CC4-5D6E-409C-BE32-E72D297353CC}">
              <c16:uniqueId val="{00000000-8BD2-4144-A26B-8B2473938AC3}"/>
            </c:ext>
          </c:extLst>
        </c:ser>
        <c:dLbls>
          <c:showLegendKey val="0"/>
          <c:showVal val="1"/>
          <c:showCatName val="0"/>
          <c:showSerName val="0"/>
          <c:showPercent val="0"/>
          <c:showBubbleSize val="0"/>
        </c:dLbls>
        <c:gapWidth val="150"/>
        <c:shape val="box"/>
        <c:axId val="502072864"/>
        <c:axId val="502073824"/>
        <c:axId val="0"/>
      </c:bar3DChart>
      <c:catAx>
        <c:axId val="50207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2073824"/>
        <c:crosses val="autoZero"/>
        <c:auto val="1"/>
        <c:lblAlgn val="ctr"/>
        <c:lblOffset val="100"/>
        <c:noMultiLvlLbl val="0"/>
      </c:catAx>
      <c:valAx>
        <c:axId val="5020738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7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144780</xdr:colOff>
      <xdr:row>7</xdr:row>
      <xdr:rowOff>243840</xdr:rowOff>
    </xdr:from>
    <xdr:to>
      <xdr:col>3</xdr:col>
      <xdr:colOff>7620</xdr:colOff>
      <xdr:row>17</xdr:row>
      <xdr:rowOff>15240</xdr:rowOff>
    </xdr:to>
    <xdr:graphicFrame macro="">
      <xdr:nvGraphicFramePr>
        <xdr:cNvPr id="2" name="Chart 1">
          <a:extLst>
            <a:ext uri="{FF2B5EF4-FFF2-40B4-BE49-F238E27FC236}">
              <a16:creationId xmlns:a16="http://schemas.microsoft.com/office/drawing/2014/main" id="{72A776CC-769D-7532-512D-8573A8437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14</xdr:row>
      <xdr:rowOff>15240</xdr:rowOff>
    </xdr:from>
    <xdr:to>
      <xdr:col>6</xdr:col>
      <xdr:colOff>922020</xdr:colOff>
      <xdr:row>23</xdr:row>
      <xdr:rowOff>83820</xdr:rowOff>
    </xdr:to>
    <xdr:graphicFrame macro="">
      <xdr:nvGraphicFramePr>
        <xdr:cNvPr id="3" name="Chart 2">
          <a:extLst>
            <a:ext uri="{FF2B5EF4-FFF2-40B4-BE49-F238E27FC236}">
              <a16:creationId xmlns:a16="http://schemas.microsoft.com/office/drawing/2014/main" id="{13AF9287-8D76-04C6-6484-6BD392439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198120</xdr:colOff>
      <xdr:row>36</xdr:row>
      <xdr:rowOff>152400</xdr:rowOff>
    </xdr:from>
    <xdr:to>
      <xdr:col>9</xdr:col>
      <xdr:colOff>548640</xdr:colOff>
      <xdr:row>57</xdr:row>
      <xdr:rowOff>137160</xdr:rowOff>
    </xdr:to>
    <xdr:graphicFrame macro="">
      <xdr:nvGraphicFramePr>
        <xdr:cNvPr id="4" name="Chart 3">
          <a:extLst>
            <a:ext uri="{FF2B5EF4-FFF2-40B4-BE49-F238E27FC236}">
              <a16:creationId xmlns:a16="http://schemas.microsoft.com/office/drawing/2014/main" id="{BFCE1459-C00B-65C1-1733-9416C2730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1082040</xdr:colOff>
      <xdr:row>37</xdr:row>
      <xdr:rowOff>15240</xdr:rowOff>
    </xdr:from>
    <xdr:to>
      <xdr:col>12</xdr:col>
      <xdr:colOff>586740</xdr:colOff>
      <xdr:row>58</xdr:row>
      <xdr:rowOff>106680</xdr:rowOff>
    </xdr:to>
    <xdr:graphicFrame macro="">
      <xdr:nvGraphicFramePr>
        <xdr:cNvPr id="5" name="Chart 4">
          <a:extLst>
            <a:ext uri="{FF2B5EF4-FFF2-40B4-BE49-F238E27FC236}">
              <a16:creationId xmlns:a16="http://schemas.microsoft.com/office/drawing/2014/main" id="{59FF8DEC-7BF7-F75F-8201-BC0F076D9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6</xdr:col>
      <xdr:colOff>244679</xdr:colOff>
      <xdr:row>24</xdr:row>
      <xdr:rowOff>20973</xdr:rowOff>
    </xdr:to>
    <xdr:graphicFrame macro="">
      <xdr:nvGraphicFramePr>
        <xdr:cNvPr id="2" name="Chart 1">
          <a:extLst>
            <a:ext uri="{FF2B5EF4-FFF2-40B4-BE49-F238E27FC236}">
              <a16:creationId xmlns:a16="http://schemas.microsoft.com/office/drawing/2014/main" id="{A37AE327-CA9C-4FBC-BCB2-F7A5FE949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580239</xdr:colOff>
      <xdr:row>6</xdr:row>
      <xdr:rowOff>132826</xdr:rowOff>
    </xdr:from>
    <xdr:to>
      <xdr:col>14</xdr:col>
      <xdr:colOff>328569</xdr:colOff>
      <xdr:row>24</xdr:row>
      <xdr:rowOff>118844</xdr:rowOff>
    </xdr:to>
    <xdr:graphicFrame macro="">
      <xdr:nvGraphicFramePr>
        <xdr:cNvPr id="3" name="Chart 2">
          <a:extLst>
            <a:ext uri="{FF2B5EF4-FFF2-40B4-BE49-F238E27FC236}">
              <a16:creationId xmlns:a16="http://schemas.microsoft.com/office/drawing/2014/main" id="{381E6FA0-D51F-490D-AF68-4F7527DCE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83889</xdr:colOff>
      <xdr:row>3</xdr:row>
      <xdr:rowOff>359019</xdr:rowOff>
    </xdr:from>
    <xdr:to>
      <xdr:col>23</xdr:col>
      <xdr:colOff>388689</xdr:colOff>
      <xdr:row>30</xdr:row>
      <xdr:rowOff>80596</xdr:rowOff>
    </xdr:to>
    <xdr:graphicFrame macro="">
      <xdr:nvGraphicFramePr>
        <xdr:cNvPr id="4" name="Chart 3">
          <a:extLst>
            <a:ext uri="{FF2B5EF4-FFF2-40B4-BE49-F238E27FC236}">
              <a16:creationId xmlns:a16="http://schemas.microsoft.com/office/drawing/2014/main" id="{D39C1433-EBCB-4B1D-BB7A-A7E0178D6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160789</xdr:colOff>
      <xdr:row>3</xdr:row>
      <xdr:rowOff>306779</xdr:rowOff>
    </xdr:from>
    <xdr:to>
      <xdr:col>33</xdr:col>
      <xdr:colOff>227610</xdr:colOff>
      <xdr:row>30</xdr:row>
      <xdr:rowOff>49480</xdr:rowOff>
    </xdr:to>
    <xdr:graphicFrame macro="">
      <xdr:nvGraphicFramePr>
        <xdr:cNvPr id="5" name="Chart 4">
          <a:extLst>
            <a:ext uri="{FF2B5EF4-FFF2-40B4-BE49-F238E27FC236}">
              <a16:creationId xmlns:a16="http://schemas.microsoft.com/office/drawing/2014/main" id="{148357A2-7B14-4B7C-B777-5297EDCCE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48385</xdr:colOff>
      <xdr:row>29</xdr:row>
      <xdr:rowOff>1657</xdr:rowOff>
    </xdr:from>
    <xdr:to>
      <xdr:col>8</xdr:col>
      <xdr:colOff>565094</xdr:colOff>
      <xdr:row>43</xdr:row>
      <xdr:rowOff>44384</xdr:rowOff>
    </xdr:to>
    <mc:AlternateContent xmlns:mc="http://schemas.openxmlformats.org/markup-compatibility/2006">
      <mc:Choice xmlns:a14="http://schemas.microsoft.com/office/drawing/2010/main" Requires="a14">
        <xdr:graphicFrame macro="">
          <xdr:nvGraphicFramePr>
            <xdr:cNvPr id="6" name="Type">
              <a:extLst>
                <a:ext uri="{FF2B5EF4-FFF2-40B4-BE49-F238E27FC236}">
                  <a16:creationId xmlns:a16="http://schemas.microsoft.com/office/drawing/2014/main" id="{32C4E8BB-5F8D-AD80-BC75-D9200542A6F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3907866" y="5790878"/>
              <a:ext cx="1822994" cy="2536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501106</xdr:colOff>
      <xdr:row>28</xdr:row>
      <xdr:rowOff>154940</xdr:rowOff>
    </xdr:from>
    <xdr:to>
      <xdr:col>4</xdr:col>
      <xdr:colOff>329837</xdr:colOff>
      <xdr:row>43</xdr:row>
      <xdr:rowOff>14786</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9B5AAC9E-EE2E-0EA7-D171-F6A022CCFA0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14664" y="5766031"/>
              <a:ext cx="1847537" cy="2531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ooti" refreshedDate="46128.047311458336" createdVersion="8" refreshedVersion="8" minRefreshableVersion="3" recordCount="55" xr:uid="{1DF891D8-EC41-44CA-911A-23DE830F3BC7}">
  <cacheSource type="worksheet">
    <worksheetSource ref="A1:H56" sheet="Raw Data"/>
  </cacheSource>
  <cacheFields count="8">
    <cacheField name="Show ID " numFmtId="0">
      <sharedItems containsSemiMixedTypes="0" containsString="0" containsNumber="1" containsInteger="1" minValue="1" maxValue="55"/>
    </cacheField>
    <cacheField name="Title" numFmtId="0">
      <sharedItems/>
    </cacheField>
    <cacheField name="Type" numFmtId="0">
      <sharedItems count="2">
        <s v="Movie"/>
        <s v="TV Show"/>
      </sharedItems>
    </cacheField>
    <cacheField name="Country" numFmtId="0">
      <sharedItems count="9">
        <s v="India"/>
        <s v="USA"/>
        <s v="Korea"/>
        <s v="Thailand"/>
        <s v="Indonesia"/>
        <s v="China"/>
        <s v="Taiwan"/>
        <s v="Japan"/>
        <s v="Spain"/>
      </sharedItems>
    </cacheField>
    <cacheField name="Release Year" numFmtId="1">
      <sharedItems containsSemiMixedTypes="0" containsString="0" containsNumber="1" containsInteger="1" minValue="1973" maxValue="2025"/>
    </cacheField>
    <cacheField name="Duration" numFmtId="49">
      <sharedItems/>
    </cacheField>
    <cacheField name="Genre" numFmtId="0">
      <sharedItems count="31">
        <s v="Dance/Musical"/>
        <s v="Horror/Comedy"/>
        <s v="Sci-fi/Action"/>
        <s v="Romance/Adventure"/>
        <s v="Horror/Mystery"/>
        <s v="Horror/Thriller"/>
        <s v="Horror"/>
        <s v="Action"/>
        <s v="Romance"/>
        <s v="Horrror/Comedy"/>
        <s v="Horror/Fantasy"/>
        <s v="Horror/Action"/>
        <s v="Horror/Sci-fi"/>
        <s v="Thriller/Comedy"/>
        <s v="Crime/Thriller"/>
        <s v="Sci-fi/Adventure"/>
        <s v="Action/Adventure"/>
        <s v="Drama/Family film"/>
        <s v="Horror/Drama"/>
        <s v="Sci-fi/Drama"/>
        <s v="Thriller"/>
        <s v="Biography"/>
        <s v="Action/Comedy"/>
        <s v="Action/Horror"/>
        <s v="Horror/Documentary"/>
        <s v="Action/Thriller"/>
        <s v="Thriller/Mystery"/>
        <s v="Drama"/>
        <s v="Mystery"/>
        <s v="Sport/Action"/>
        <s v="Reality"/>
      </sharedItems>
    </cacheField>
    <cacheField name="IMDb Rating" numFmtId="164">
      <sharedItems containsSemiMixedTypes="0" containsString="0" containsNumber="1" minValue="2.9" maxValue="8.8000000000000007"/>
    </cacheField>
  </cacheFields>
  <extLst>
    <ext xmlns:x14="http://schemas.microsoft.com/office/spreadsheetml/2009/9/main" uri="{725AE2AE-9491-48be-B2B4-4EB974FC3084}">
      <x14:pivotCacheDefinition pivotCacheId="149580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n v="1"/>
    <s v="ABCD "/>
    <x v="0"/>
    <x v="0"/>
    <n v="2013"/>
    <s v="143 m"/>
    <x v="0"/>
    <n v="6.3"/>
  </r>
  <r>
    <n v="2"/>
    <s v="Bhool Bhulaiyaa"/>
    <x v="0"/>
    <x v="0"/>
    <n v="2007"/>
    <s v="159 m"/>
    <x v="1"/>
    <n v="7.5"/>
  </r>
  <r>
    <n v="3"/>
    <s v="Inception"/>
    <x v="0"/>
    <x v="1"/>
    <n v="2010"/>
    <s v="148 m"/>
    <x v="2"/>
    <n v="8.8000000000000007"/>
  </r>
  <r>
    <n v="4"/>
    <s v="Titanic"/>
    <x v="0"/>
    <x v="1"/>
    <n v="1997"/>
    <s v="194 m"/>
    <x v="3"/>
    <n v="8"/>
  </r>
  <r>
    <n v="5"/>
    <s v="Get Out"/>
    <x v="0"/>
    <x v="1"/>
    <n v="2017"/>
    <s v="104 m"/>
    <x v="4"/>
    <n v="7.8"/>
  </r>
  <r>
    <n v="6"/>
    <s v=" Heretic"/>
    <x v="0"/>
    <x v="1"/>
    <n v="2024"/>
    <s v="111 m"/>
    <x v="5"/>
    <n v="7"/>
  </r>
  <r>
    <n v="7"/>
    <s v="The Conjuring"/>
    <x v="0"/>
    <x v="1"/>
    <n v="2013"/>
    <s v="112 m"/>
    <x v="4"/>
    <n v="7.5"/>
  </r>
  <r>
    <n v="8"/>
    <s v="The Nun"/>
    <x v="0"/>
    <x v="1"/>
    <n v="2018"/>
    <s v="96 m"/>
    <x v="4"/>
    <n v="5.4"/>
  </r>
  <r>
    <n v="9"/>
    <s v="Oculus"/>
    <x v="0"/>
    <x v="1"/>
    <n v="2013"/>
    <s v="104 m"/>
    <x v="4"/>
    <n v="6.6"/>
  </r>
  <r>
    <n v="10"/>
    <s v="Sweet Home"/>
    <x v="1"/>
    <x v="2"/>
    <n v="2020"/>
    <s v="3 Seasons"/>
    <x v="6"/>
    <n v="7.2"/>
  </r>
  <r>
    <n v="11"/>
    <s v="Trigger"/>
    <x v="1"/>
    <x v="2"/>
    <n v="2025"/>
    <s v="1 Season"/>
    <x v="7"/>
    <n v="7.2"/>
  </r>
  <r>
    <n v="12"/>
    <s v="True Beauty"/>
    <x v="1"/>
    <x v="2"/>
    <n v="2020"/>
    <s v="1 Season"/>
    <x v="8"/>
    <n v="7.9"/>
  </r>
  <r>
    <n v="13"/>
    <s v="Kanchana"/>
    <x v="0"/>
    <x v="0"/>
    <n v="2011"/>
    <s v="160 m"/>
    <x v="9"/>
    <n v="6.7"/>
  </r>
  <r>
    <n v="14"/>
    <s v="The Medium"/>
    <x v="0"/>
    <x v="3"/>
    <n v="2021"/>
    <s v="131 m"/>
    <x v="10"/>
    <n v="6.5"/>
  </r>
  <r>
    <n v="15"/>
    <s v="Satan's Slave"/>
    <x v="0"/>
    <x v="4"/>
    <n v="2017"/>
    <s v="107 m"/>
    <x v="4"/>
    <n v="6.5"/>
  </r>
  <r>
    <n v="16"/>
    <s v="Death Wishperer"/>
    <x v="0"/>
    <x v="3"/>
    <n v="2023"/>
    <s v="161 m"/>
    <x v="5"/>
    <n v="5.9"/>
  </r>
  <r>
    <n v="17"/>
    <s v="Lucy"/>
    <x v="0"/>
    <x v="1"/>
    <n v="2014"/>
    <s v="89 m"/>
    <x v="2"/>
    <n v="6.4"/>
  </r>
  <r>
    <n v="18"/>
    <s v="Malignant"/>
    <x v="0"/>
    <x v="1"/>
    <n v="2021"/>
    <s v="111 m"/>
    <x v="11"/>
    <n v="6.2"/>
  </r>
  <r>
    <n v="19"/>
    <s v="Exhuma"/>
    <x v="0"/>
    <x v="2"/>
    <n v="2024"/>
    <s v="174 m"/>
    <x v="4"/>
    <n v="6.9"/>
  </r>
  <r>
    <n v="20"/>
    <s v="The Wailing"/>
    <x v="0"/>
    <x v="2"/>
    <n v="2016"/>
    <s v="156 m"/>
    <x v="4"/>
    <n v="7.4"/>
  </r>
  <r>
    <n v="21"/>
    <s v="The Call"/>
    <x v="0"/>
    <x v="2"/>
    <n v="2020"/>
    <s v="112 m"/>
    <x v="12"/>
    <n v="7.1"/>
  </r>
  <r>
    <n v="22"/>
    <s v="Parasite"/>
    <x v="0"/>
    <x v="2"/>
    <n v="2019"/>
    <s v="132 m"/>
    <x v="13"/>
    <n v="8.5"/>
  </r>
  <r>
    <n v="23"/>
    <s v="Joker"/>
    <x v="0"/>
    <x v="1"/>
    <n v="2019"/>
    <s v="122 m"/>
    <x v="14"/>
    <n v="8.3000000000000007"/>
  </r>
  <r>
    <n v="24"/>
    <s v="Intersteller"/>
    <x v="0"/>
    <x v="1"/>
    <n v="2014"/>
    <s v="169 m"/>
    <x v="15"/>
    <n v="8.6999999999999993"/>
  </r>
  <r>
    <n v="25"/>
    <s v="Bloodhounds"/>
    <x v="1"/>
    <x v="2"/>
    <n v="2023"/>
    <s v="2 Seasons"/>
    <x v="7"/>
    <n v="8.1"/>
  </r>
  <r>
    <n v="26"/>
    <s v="The Avengers"/>
    <x v="0"/>
    <x v="1"/>
    <n v="2012"/>
    <s v="143 m"/>
    <x v="16"/>
    <n v="8"/>
  </r>
  <r>
    <n v="27"/>
    <s v="Big World"/>
    <x v="0"/>
    <x v="5"/>
    <n v="2024"/>
    <s v="131 m"/>
    <x v="17"/>
    <n v="7.5"/>
  </r>
  <r>
    <n v="28"/>
    <s v="Door Lock"/>
    <x v="0"/>
    <x v="2"/>
    <n v="2018"/>
    <s v="102 m"/>
    <x v="18"/>
    <n v="6.4"/>
  </r>
  <r>
    <n v="29"/>
    <s v="The Great Flood"/>
    <x v="0"/>
    <x v="2"/>
    <n v="2025"/>
    <s v="108 m"/>
    <x v="19"/>
    <n v="5.4"/>
  </r>
  <r>
    <n v="30"/>
    <s v="The Witch"/>
    <x v="0"/>
    <x v="1"/>
    <n v="2015"/>
    <s v="92 m"/>
    <x v="4"/>
    <n v="7"/>
  </r>
  <r>
    <n v="31"/>
    <s v="Noise"/>
    <x v="0"/>
    <x v="2"/>
    <n v="2024"/>
    <s v="93 m"/>
    <x v="5"/>
    <n v="5.7"/>
  </r>
  <r>
    <n v="32"/>
    <s v="Midnight"/>
    <x v="0"/>
    <x v="2"/>
    <n v="2021"/>
    <s v="103 m"/>
    <x v="20"/>
    <n v="6.5"/>
  </r>
  <r>
    <n v="33"/>
    <s v="Taali"/>
    <x v="1"/>
    <x v="0"/>
    <n v="2023"/>
    <s v="1 Season"/>
    <x v="21"/>
    <n v="7.8"/>
  </r>
  <r>
    <n v="34"/>
    <s v="Brave Citizen"/>
    <x v="0"/>
    <x v="2"/>
    <n v="2023"/>
    <s v="112 m"/>
    <x v="22"/>
    <n v="6.6"/>
  </r>
  <r>
    <n v="35"/>
    <s v="All of Us are Dead"/>
    <x v="1"/>
    <x v="2"/>
    <n v="2022"/>
    <s v="1 Season"/>
    <x v="6"/>
    <n v="7.6"/>
  </r>
  <r>
    <n v="36"/>
    <s v="Train to Bussan"/>
    <x v="0"/>
    <x v="2"/>
    <n v="2016"/>
    <s v="118 m"/>
    <x v="23"/>
    <n v="7.6"/>
  </r>
  <r>
    <n v="37"/>
    <s v="Incantation"/>
    <x v="0"/>
    <x v="6"/>
    <n v="2022"/>
    <s v="111 m"/>
    <x v="24"/>
    <n v="6.3"/>
  </r>
  <r>
    <n v="38"/>
    <s v="The Childe"/>
    <x v="0"/>
    <x v="2"/>
    <n v="2023"/>
    <s v="118 m"/>
    <x v="25"/>
    <n v="6.9"/>
  </r>
  <r>
    <n v="39"/>
    <s v="Alice in Borderland"/>
    <x v="1"/>
    <x v="7"/>
    <n v="2020"/>
    <s v="3 Seasons"/>
    <x v="20"/>
    <n v="7.8"/>
  </r>
  <r>
    <n v="40"/>
    <s v="Forgotten"/>
    <x v="0"/>
    <x v="2"/>
    <n v="2017"/>
    <s v="109 m"/>
    <x v="26"/>
    <n v="7.4"/>
  </r>
  <r>
    <n v="41"/>
    <s v="Tumbbad"/>
    <x v="0"/>
    <x v="0"/>
    <n v="2018"/>
    <s v="104 m"/>
    <x v="10"/>
    <n v="8.1999999999999993"/>
  </r>
  <r>
    <n v="42"/>
    <s v="The Exorcist"/>
    <x v="0"/>
    <x v="1"/>
    <n v="1973"/>
    <s v="122 m"/>
    <x v="4"/>
    <n v="8.1"/>
  </r>
  <r>
    <n v="43"/>
    <s v="Sister Death"/>
    <x v="0"/>
    <x v="8"/>
    <n v="2023"/>
    <s v="189 m"/>
    <x v="4"/>
    <n v="5.8"/>
  </r>
  <r>
    <n v="44"/>
    <s v="Vincenzo"/>
    <x v="1"/>
    <x v="2"/>
    <n v="2021"/>
    <s v="1 Season"/>
    <x v="27"/>
    <n v="8.4"/>
  </r>
  <r>
    <n v="45"/>
    <s v="The 8th Night"/>
    <x v="0"/>
    <x v="2"/>
    <n v="2021"/>
    <s v="115 m"/>
    <x v="4"/>
    <n v="5.3"/>
  </r>
  <r>
    <n v="46"/>
    <s v="Blind"/>
    <x v="1"/>
    <x v="2"/>
    <n v="2022"/>
    <s v="1 Season"/>
    <x v="28"/>
    <n v="8"/>
  </r>
  <r>
    <n v="47"/>
    <s v="Connect"/>
    <x v="1"/>
    <x v="2"/>
    <n v="2022"/>
    <s v="1 Season"/>
    <x v="6"/>
    <n v="6.5"/>
  </r>
  <r>
    <n v="48"/>
    <s v="Island"/>
    <x v="1"/>
    <x v="2"/>
    <n v="2022"/>
    <s v="2 Seasons"/>
    <x v="7"/>
    <n v="7"/>
  </r>
  <r>
    <n v="49"/>
    <s v="Ring"/>
    <x v="0"/>
    <x v="7"/>
    <n v="1998"/>
    <s v="96 m"/>
    <x v="4"/>
    <n v="7.2"/>
  </r>
  <r>
    <n v="50"/>
    <s v="Insidious"/>
    <x v="0"/>
    <x v="1"/>
    <n v="2010"/>
    <s v="103 m"/>
    <x v="4"/>
    <n v="6.8"/>
  </r>
  <r>
    <n v="51"/>
    <s v="Dangal"/>
    <x v="0"/>
    <x v="0"/>
    <n v="2016"/>
    <s v="161 m"/>
    <x v="29"/>
    <n v="8.3000000000000007"/>
  </r>
  <r>
    <n v="52"/>
    <s v="Money Heist"/>
    <x v="1"/>
    <x v="8"/>
    <n v="2017"/>
    <s v="5 Seasons"/>
    <x v="20"/>
    <n v="8.1999999999999993"/>
  </r>
  <r>
    <n v="53"/>
    <s v="Stranger Things"/>
    <x v="1"/>
    <x v="1"/>
    <n v="2016"/>
    <s v="5 Seasons"/>
    <x v="6"/>
    <n v="8.6"/>
  </r>
  <r>
    <n v="54"/>
    <s v="Squid Game"/>
    <x v="1"/>
    <x v="2"/>
    <n v="2021"/>
    <s v="3 Seasons"/>
    <x v="20"/>
    <n v="7.9"/>
  </r>
  <r>
    <n v="55"/>
    <s v="Keeping Up with the Kardashians"/>
    <x v="1"/>
    <x v="1"/>
    <n v="2007"/>
    <s v="20 Seasons"/>
    <x v="30"/>
    <n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B4B27B-AC49-4B84-ABFD-26B99ED730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3" firstHeaderRow="1" firstDataRow="1" firstDataCol="1"/>
  <pivotFields count="8">
    <pivotField showAll="0"/>
    <pivotField dataField="1" showAll="0"/>
    <pivotField showAll="0">
      <items count="3">
        <item x="0"/>
        <item x="1"/>
        <item t="default"/>
      </items>
    </pivotField>
    <pivotField axis="axisRow" showAll="0">
      <items count="10">
        <item x="5"/>
        <item x="0"/>
        <item x="4"/>
        <item x="7"/>
        <item x="2"/>
        <item x="8"/>
        <item x="6"/>
        <item x="3"/>
        <item x="1"/>
        <item t="default"/>
      </items>
    </pivotField>
    <pivotField numFmtId="1" showAll="0"/>
    <pivotField showAll="0"/>
    <pivotField showAll="0"/>
    <pivotField numFmtId="164" showAll="0"/>
  </pivotFields>
  <rowFields count="1">
    <field x="3"/>
  </rowFields>
  <rowItems count="10">
    <i>
      <x/>
    </i>
    <i>
      <x v="1"/>
    </i>
    <i>
      <x v="2"/>
    </i>
    <i>
      <x v="3"/>
    </i>
    <i>
      <x v="4"/>
    </i>
    <i>
      <x v="5"/>
    </i>
    <i>
      <x v="6"/>
    </i>
    <i>
      <x v="7"/>
    </i>
    <i>
      <x v="8"/>
    </i>
    <i t="grand">
      <x/>
    </i>
  </rowItems>
  <colItems count="1">
    <i/>
  </colItems>
  <dataFields count="1">
    <dataField name="Count of Title" fld="1" subtotal="count" baseField="0" baseItem="0"/>
  </dataFields>
  <formats count="23">
    <format dxfId="1521">
      <pivotArea type="all" dataOnly="0" outline="0" fieldPosition="0"/>
    </format>
    <format dxfId="1520">
      <pivotArea outline="0" collapsedLevelsAreSubtotals="1" fieldPosition="0"/>
    </format>
    <format dxfId="1519">
      <pivotArea field="3" type="button" dataOnly="0" labelOnly="1" outline="0" axis="axisRow" fieldPosition="0"/>
    </format>
    <format dxfId="1518">
      <pivotArea dataOnly="0" labelOnly="1" fieldPosition="0">
        <references count="1">
          <reference field="3" count="0"/>
        </references>
      </pivotArea>
    </format>
    <format dxfId="1517">
      <pivotArea dataOnly="0" labelOnly="1" grandRow="1" outline="0" fieldPosition="0"/>
    </format>
    <format dxfId="1516">
      <pivotArea dataOnly="0" labelOnly="1" outline="0" axis="axisValues" fieldPosition="0"/>
    </format>
    <format dxfId="1515">
      <pivotArea type="all" dataOnly="0" outline="0" fieldPosition="0"/>
    </format>
    <format dxfId="1514">
      <pivotArea outline="0" collapsedLevelsAreSubtotals="1" fieldPosition="0"/>
    </format>
    <format dxfId="1513">
      <pivotArea field="3" type="button" dataOnly="0" labelOnly="1" outline="0" axis="axisRow" fieldPosition="0"/>
    </format>
    <format dxfId="1512">
      <pivotArea dataOnly="0" labelOnly="1" fieldPosition="0">
        <references count="1">
          <reference field="3" count="0"/>
        </references>
      </pivotArea>
    </format>
    <format dxfId="1511">
      <pivotArea dataOnly="0" labelOnly="1" grandRow="1" outline="0" fieldPosition="0"/>
    </format>
    <format dxfId="1510">
      <pivotArea dataOnly="0" labelOnly="1" outline="0" axis="axisValues" fieldPosition="0"/>
    </format>
    <format dxfId="1509">
      <pivotArea type="all" dataOnly="0" outline="0" fieldPosition="0"/>
    </format>
    <format dxfId="1508">
      <pivotArea outline="0" collapsedLevelsAreSubtotals="1" fieldPosition="0"/>
    </format>
    <format dxfId="1507">
      <pivotArea field="3" type="button" dataOnly="0" labelOnly="1" outline="0" axis="axisRow" fieldPosition="0"/>
    </format>
    <format dxfId="1506">
      <pivotArea dataOnly="0" labelOnly="1" fieldPosition="0">
        <references count="1">
          <reference field="3" count="0"/>
        </references>
      </pivotArea>
    </format>
    <format dxfId="1505">
      <pivotArea dataOnly="0" labelOnly="1" grandRow="1" outline="0" fieldPosition="0"/>
    </format>
    <format dxfId="1504">
      <pivotArea dataOnly="0" labelOnly="1" outline="0" axis="axisValues" fieldPosition="0"/>
    </format>
    <format dxfId="1503">
      <pivotArea outline="0" collapsedLevelsAreSubtotals="1" fieldPosition="0"/>
    </format>
    <format dxfId="1502">
      <pivotArea dataOnly="0" labelOnly="1" outline="0" axis="axisValues" fieldPosition="0"/>
    </format>
    <format dxfId="1501">
      <pivotArea field="3" type="button" dataOnly="0" labelOnly="1" outline="0" axis="axisRow" fieldPosition="0"/>
    </format>
    <format dxfId="1500">
      <pivotArea dataOnly="0" labelOnly="1" fieldPosition="0">
        <references count="1">
          <reference field="3" count="0"/>
        </references>
      </pivotArea>
    </format>
    <format dxfId="149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FF410C-9C2D-4B47-87DD-98CC51E32B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6" firstHeaderRow="1" firstDataRow="1" firstDataCol="1"/>
  <pivotFields count="8">
    <pivotField showAll="0"/>
    <pivotField dataField="1" showAll="0"/>
    <pivotField axis="axisRow" showAll="0">
      <items count="3">
        <item x="0"/>
        <item x="1"/>
        <item t="default"/>
      </items>
    </pivotField>
    <pivotField showAll="0">
      <items count="10">
        <item x="5"/>
        <item x="0"/>
        <item x="4"/>
        <item x="7"/>
        <item x="2"/>
        <item x="8"/>
        <item x="6"/>
        <item x="3"/>
        <item x="1"/>
        <item t="default"/>
      </items>
    </pivotField>
    <pivotField numFmtId="1" showAll="0"/>
    <pivotField showAll="0"/>
    <pivotField showAll="0"/>
    <pivotField numFmtId="164" showAll="0"/>
  </pivotFields>
  <rowFields count="1">
    <field x="2"/>
  </rowFields>
  <rowItems count="3">
    <i>
      <x/>
    </i>
    <i>
      <x v="1"/>
    </i>
    <i t="grand">
      <x/>
    </i>
  </rowItems>
  <colItems count="1">
    <i/>
  </colItems>
  <dataFields count="1">
    <dataField name="Count of Title" fld="1" subtotal="count" baseField="0" baseItem="0"/>
  </dataFields>
  <formats count="29">
    <format dxfId="1550">
      <pivotArea type="all" dataOnly="0" outline="0" fieldPosition="0"/>
    </format>
    <format dxfId="1549">
      <pivotArea outline="0" collapsedLevelsAreSubtotals="1" fieldPosition="0"/>
    </format>
    <format dxfId="1548">
      <pivotArea field="2" type="button" dataOnly="0" labelOnly="1" outline="0" axis="axisRow" fieldPosition="0"/>
    </format>
    <format dxfId="1547">
      <pivotArea dataOnly="0" labelOnly="1" fieldPosition="0">
        <references count="1">
          <reference field="2" count="0"/>
        </references>
      </pivotArea>
    </format>
    <format dxfId="1546">
      <pivotArea dataOnly="0" labelOnly="1" grandRow="1" outline="0" fieldPosition="0"/>
    </format>
    <format dxfId="1545">
      <pivotArea dataOnly="0" labelOnly="1" outline="0" axis="axisValues" fieldPosition="0"/>
    </format>
    <format dxfId="1544">
      <pivotArea type="all" dataOnly="0" outline="0" fieldPosition="0"/>
    </format>
    <format dxfId="1543">
      <pivotArea outline="0" collapsedLevelsAreSubtotals="1" fieldPosition="0"/>
    </format>
    <format dxfId="1542">
      <pivotArea field="2" type="button" dataOnly="0" labelOnly="1" outline="0" axis="axisRow" fieldPosition="0"/>
    </format>
    <format dxfId="1541">
      <pivotArea dataOnly="0" labelOnly="1" fieldPosition="0">
        <references count="1">
          <reference field="2" count="0"/>
        </references>
      </pivotArea>
    </format>
    <format dxfId="1540">
      <pivotArea dataOnly="0" labelOnly="1" grandRow="1" outline="0" fieldPosition="0"/>
    </format>
    <format dxfId="1539">
      <pivotArea dataOnly="0" labelOnly="1" outline="0" axis="axisValues" fieldPosition="0"/>
    </format>
    <format dxfId="1538">
      <pivotArea type="all" dataOnly="0" outline="0" fieldPosition="0"/>
    </format>
    <format dxfId="1537">
      <pivotArea outline="0" collapsedLevelsAreSubtotals="1" fieldPosition="0"/>
    </format>
    <format dxfId="1536">
      <pivotArea field="2" type="button" dataOnly="0" labelOnly="1" outline="0" axis="axisRow" fieldPosition="0"/>
    </format>
    <format dxfId="1535">
      <pivotArea dataOnly="0" labelOnly="1" fieldPosition="0">
        <references count="1">
          <reference field="2" count="0"/>
        </references>
      </pivotArea>
    </format>
    <format dxfId="1534">
      <pivotArea dataOnly="0" labelOnly="1" grandRow="1" outline="0" fieldPosition="0"/>
    </format>
    <format dxfId="1533">
      <pivotArea dataOnly="0" labelOnly="1" outline="0" axis="axisValues" fieldPosition="0"/>
    </format>
    <format dxfId="1532">
      <pivotArea type="all" dataOnly="0" outline="0" fieldPosition="0"/>
    </format>
    <format dxfId="1531">
      <pivotArea outline="0" collapsedLevelsAreSubtotals="1" fieldPosition="0"/>
    </format>
    <format dxfId="1530">
      <pivotArea field="2" type="button" dataOnly="0" labelOnly="1" outline="0" axis="axisRow" fieldPosition="0"/>
    </format>
    <format dxfId="1529">
      <pivotArea dataOnly="0" labelOnly="1" fieldPosition="0">
        <references count="1">
          <reference field="2" count="0"/>
        </references>
      </pivotArea>
    </format>
    <format dxfId="1528">
      <pivotArea dataOnly="0" labelOnly="1" grandRow="1" outline="0" fieldPosition="0"/>
    </format>
    <format dxfId="1527">
      <pivotArea dataOnly="0" labelOnly="1" outline="0" axis="axisValues" fieldPosition="0"/>
    </format>
    <format dxfId="1526">
      <pivotArea outline="0" collapsedLevelsAreSubtotals="1" fieldPosition="0"/>
    </format>
    <format dxfId="1525">
      <pivotArea dataOnly="0" labelOnly="1" outline="0" axis="axisValues" fieldPosition="0"/>
    </format>
    <format dxfId="1524">
      <pivotArea field="2" type="button" dataOnly="0" labelOnly="1" outline="0" axis="axisRow" fieldPosition="0"/>
    </format>
    <format dxfId="1523">
      <pivotArea dataOnly="0" labelOnly="1" fieldPosition="0">
        <references count="1">
          <reference field="2" count="0"/>
        </references>
      </pivotArea>
    </format>
    <format dxfId="1522">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8F19BD-F509-4EC4-AEFD-76323BC40A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35" firstHeaderRow="1" firstDataRow="1" firstDataCol="1"/>
  <pivotFields count="8">
    <pivotField showAll="0"/>
    <pivotField showAll="0"/>
    <pivotField showAll="0">
      <items count="3">
        <item x="0"/>
        <item x="1"/>
        <item t="default"/>
      </items>
    </pivotField>
    <pivotField showAll="0">
      <items count="10">
        <item x="5"/>
        <item x="0"/>
        <item x="4"/>
        <item x="7"/>
        <item x="2"/>
        <item x="8"/>
        <item x="6"/>
        <item x="3"/>
        <item x="1"/>
        <item t="default"/>
      </items>
    </pivotField>
    <pivotField numFmtId="1" showAll="0"/>
    <pivotField showAll="0"/>
    <pivotField axis="axisRow" showAll="0">
      <items count="32">
        <item x="7"/>
        <item x="16"/>
        <item x="22"/>
        <item x="23"/>
        <item x="25"/>
        <item x="21"/>
        <item x="14"/>
        <item x="0"/>
        <item x="27"/>
        <item x="17"/>
        <item x="6"/>
        <item x="11"/>
        <item x="1"/>
        <item x="24"/>
        <item x="18"/>
        <item x="10"/>
        <item x="4"/>
        <item x="12"/>
        <item x="5"/>
        <item x="9"/>
        <item x="28"/>
        <item x="30"/>
        <item x="8"/>
        <item x="3"/>
        <item x="2"/>
        <item x="15"/>
        <item x="19"/>
        <item x="29"/>
        <item x="20"/>
        <item x="13"/>
        <item x="26"/>
        <item t="default"/>
      </items>
    </pivotField>
    <pivotField dataField="1" numFmtId="164" showAll="0"/>
  </pivotFields>
  <rowFields count="1">
    <field x="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IMDb Rating" fld="7" baseField="0" baseItem="0" numFmtId="164"/>
  </dataFields>
  <formats count="23">
    <format dxfId="1573">
      <pivotArea type="all" dataOnly="0" outline="0" fieldPosition="0"/>
    </format>
    <format dxfId="1572">
      <pivotArea outline="0" collapsedLevelsAreSubtotals="1" fieldPosition="0"/>
    </format>
    <format dxfId="1571">
      <pivotArea field="6" type="button" dataOnly="0" labelOnly="1" outline="0" axis="axisRow" fieldPosition="0"/>
    </format>
    <format dxfId="1570">
      <pivotArea dataOnly="0" labelOnly="1" fieldPosition="0">
        <references count="1">
          <reference field="6" count="0"/>
        </references>
      </pivotArea>
    </format>
    <format dxfId="1569">
      <pivotArea dataOnly="0" labelOnly="1" grandRow="1" outline="0" fieldPosition="0"/>
    </format>
    <format dxfId="1568">
      <pivotArea dataOnly="0" labelOnly="1" outline="0" axis="axisValues" fieldPosition="0"/>
    </format>
    <format dxfId="1567">
      <pivotArea type="all" dataOnly="0" outline="0" fieldPosition="0"/>
    </format>
    <format dxfId="1566">
      <pivotArea outline="0" collapsedLevelsAreSubtotals="1" fieldPosition="0"/>
    </format>
    <format dxfId="1565">
      <pivotArea field="6" type="button" dataOnly="0" labelOnly="1" outline="0" axis="axisRow" fieldPosition="0"/>
    </format>
    <format dxfId="1564">
      <pivotArea dataOnly="0" labelOnly="1" fieldPosition="0">
        <references count="1">
          <reference field="6" count="0"/>
        </references>
      </pivotArea>
    </format>
    <format dxfId="1563">
      <pivotArea dataOnly="0" labelOnly="1" grandRow="1" outline="0" fieldPosition="0"/>
    </format>
    <format dxfId="1562">
      <pivotArea dataOnly="0" labelOnly="1" outline="0" axis="axisValues" fieldPosition="0"/>
    </format>
    <format dxfId="1561">
      <pivotArea type="all" dataOnly="0" outline="0" fieldPosition="0"/>
    </format>
    <format dxfId="1560">
      <pivotArea outline="0" collapsedLevelsAreSubtotals="1" fieldPosition="0"/>
    </format>
    <format dxfId="1559">
      <pivotArea field="6" type="button" dataOnly="0" labelOnly="1" outline="0" axis="axisRow" fieldPosition="0"/>
    </format>
    <format dxfId="1558">
      <pivotArea dataOnly="0" labelOnly="1" fieldPosition="0">
        <references count="1">
          <reference field="6" count="0"/>
        </references>
      </pivotArea>
    </format>
    <format dxfId="1557">
      <pivotArea dataOnly="0" labelOnly="1" grandRow="1" outline="0" fieldPosition="0"/>
    </format>
    <format dxfId="1556">
      <pivotArea dataOnly="0" labelOnly="1" outline="0" axis="axisValues" fieldPosition="0"/>
    </format>
    <format dxfId="1555">
      <pivotArea field="6" type="button" dataOnly="0" labelOnly="1" outline="0" axis="axisRow" fieldPosition="0"/>
    </format>
    <format dxfId="1554">
      <pivotArea dataOnly="0" labelOnly="1" fieldPosition="0">
        <references count="1">
          <reference field="6" count="0"/>
        </references>
      </pivotArea>
    </format>
    <format dxfId="1553">
      <pivotArea dataOnly="0" labelOnly="1" grandRow="1" outline="0" fieldPosition="0"/>
    </format>
    <format dxfId="1552">
      <pivotArea outline="0" collapsedLevelsAreSubtotals="1" fieldPosition="0"/>
    </format>
    <format dxfId="155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07A3E0-4121-4C96-A4BF-4D5D784D93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3:I35" firstHeaderRow="1" firstDataRow="1" firstDataCol="1"/>
  <pivotFields count="8">
    <pivotField showAll="0"/>
    <pivotField dataField="1" showAll="0"/>
    <pivotField showAll="0">
      <items count="3">
        <item x="0"/>
        <item x="1"/>
        <item t="default"/>
      </items>
    </pivotField>
    <pivotField showAll="0">
      <items count="10">
        <item x="5"/>
        <item x="0"/>
        <item x="4"/>
        <item x="7"/>
        <item x="2"/>
        <item x="8"/>
        <item x="6"/>
        <item x="3"/>
        <item x="1"/>
        <item t="default"/>
      </items>
    </pivotField>
    <pivotField numFmtId="1" showAll="0"/>
    <pivotField showAll="0"/>
    <pivotField axis="axisRow" showAll="0">
      <items count="32">
        <item x="7"/>
        <item x="16"/>
        <item x="22"/>
        <item x="23"/>
        <item x="25"/>
        <item x="21"/>
        <item x="14"/>
        <item x="0"/>
        <item x="27"/>
        <item x="17"/>
        <item x="6"/>
        <item x="11"/>
        <item x="1"/>
        <item x="24"/>
        <item x="18"/>
        <item x="10"/>
        <item x="4"/>
        <item x="12"/>
        <item x="5"/>
        <item x="9"/>
        <item x="28"/>
        <item x="30"/>
        <item x="8"/>
        <item x="3"/>
        <item x="2"/>
        <item x="15"/>
        <item x="19"/>
        <item x="29"/>
        <item x="20"/>
        <item x="13"/>
        <item x="26"/>
        <item t="default"/>
      </items>
    </pivotField>
    <pivotField numFmtId="164" showAll="0"/>
  </pivotFields>
  <rowFields count="1">
    <field x="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Title" fld="1" subtotal="count" baseField="0" baseItem="0"/>
  </dataFields>
  <formats count="23">
    <format dxfId="1596">
      <pivotArea type="all" dataOnly="0" outline="0" fieldPosition="0"/>
    </format>
    <format dxfId="1595">
      <pivotArea outline="0" collapsedLevelsAreSubtotals="1" fieldPosition="0"/>
    </format>
    <format dxfId="1594">
      <pivotArea field="6" type="button" dataOnly="0" labelOnly="1" outline="0" axis="axisRow" fieldPosition="0"/>
    </format>
    <format dxfId="1593">
      <pivotArea dataOnly="0" labelOnly="1" fieldPosition="0">
        <references count="1">
          <reference field="6" count="0"/>
        </references>
      </pivotArea>
    </format>
    <format dxfId="1592">
      <pivotArea dataOnly="0" labelOnly="1" grandRow="1" outline="0" fieldPosition="0"/>
    </format>
    <format dxfId="1591">
      <pivotArea dataOnly="0" labelOnly="1" outline="0" axis="axisValues" fieldPosition="0"/>
    </format>
    <format dxfId="1590">
      <pivotArea type="all" dataOnly="0" outline="0" fieldPosition="0"/>
    </format>
    <format dxfId="1589">
      <pivotArea outline="0" collapsedLevelsAreSubtotals="1" fieldPosition="0"/>
    </format>
    <format dxfId="1588">
      <pivotArea field="6" type="button" dataOnly="0" labelOnly="1" outline="0" axis="axisRow" fieldPosition="0"/>
    </format>
    <format dxfId="1587">
      <pivotArea dataOnly="0" labelOnly="1" fieldPosition="0">
        <references count="1">
          <reference field="6" count="0"/>
        </references>
      </pivotArea>
    </format>
    <format dxfId="1586">
      <pivotArea dataOnly="0" labelOnly="1" grandRow="1" outline="0" fieldPosition="0"/>
    </format>
    <format dxfId="1585">
      <pivotArea dataOnly="0" labelOnly="1" outline="0" axis="axisValues" fieldPosition="0"/>
    </format>
    <format dxfId="1584">
      <pivotArea type="all" dataOnly="0" outline="0" fieldPosition="0"/>
    </format>
    <format dxfId="1583">
      <pivotArea outline="0" collapsedLevelsAreSubtotals="1" fieldPosition="0"/>
    </format>
    <format dxfId="1582">
      <pivotArea field="6" type="button" dataOnly="0" labelOnly="1" outline="0" axis="axisRow" fieldPosition="0"/>
    </format>
    <format dxfId="1581">
      <pivotArea dataOnly="0" labelOnly="1" fieldPosition="0">
        <references count="1">
          <reference field="6" count="0"/>
        </references>
      </pivotArea>
    </format>
    <format dxfId="1580">
      <pivotArea dataOnly="0" labelOnly="1" grandRow="1" outline="0" fieldPosition="0"/>
    </format>
    <format dxfId="1579">
      <pivotArea dataOnly="0" labelOnly="1" outline="0" axis="axisValues" fieldPosition="0"/>
    </format>
    <format dxfId="1578">
      <pivotArea outline="0" collapsedLevelsAreSubtotals="1" fieldPosition="0"/>
    </format>
    <format dxfId="1577">
      <pivotArea dataOnly="0" labelOnly="1" outline="0" axis="axisValues" fieldPosition="0"/>
    </format>
    <format dxfId="1576">
      <pivotArea field="6" type="button" dataOnly="0" labelOnly="1" outline="0" axis="axisRow" fieldPosition="0"/>
    </format>
    <format dxfId="1575">
      <pivotArea dataOnly="0" labelOnly="1" fieldPosition="0">
        <references count="1">
          <reference field="6" count="0"/>
        </references>
      </pivotArea>
    </format>
    <format dxfId="1574">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281103A-CB90-4F46-9607-9308153C634A}" sourceName="Type">
  <pivotTables>
    <pivotTable tabId="2" name="PivotTable1"/>
    <pivotTable tabId="2" name="PivotTable2"/>
    <pivotTable tabId="2" name="PivotTable3"/>
    <pivotTable tabId="2" name="PivotTable4"/>
  </pivotTables>
  <data>
    <tabular pivotCacheId="1495801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BFE768C-A8DE-41D5-81B2-09452B2D0ADC}" sourceName="Country">
  <pivotTables>
    <pivotTable tabId="2" name="PivotTable1"/>
    <pivotTable tabId="2" name="PivotTable2"/>
    <pivotTable tabId="2" name="PivotTable3"/>
    <pivotTable tabId="2" name="PivotTable4"/>
  </pivotTables>
  <data>
    <tabular pivotCacheId="149580125">
      <items count="9">
        <i x="5" s="1"/>
        <i x="0" s="1"/>
        <i x="4" s="1"/>
        <i x="7" s="1"/>
        <i x="2" s="1"/>
        <i x="8" s="1"/>
        <i x="6"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17F1930-CFDA-4488-AE6C-5D4FA2014D6B}" cache="Slicer_Type" caption="Type" rowHeight="247650"/>
  <slicer name="Country" xr10:uid="{EBB32ECF-B949-48AA-9085-E22F817475E7}" cache="Slicer_Country" caption="Count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EBA6-4833-4CA2-8E5F-D99A58ADCC9C}">
  <dimension ref="A1:X62"/>
  <sheetViews>
    <sheetView zoomScale="169" zoomScaleNormal="129" workbookViewId="0">
      <selection activeCell="I15" sqref="I15"/>
    </sheetView>
  </sheetViews>
  <sheetFormatPr defaultRowHeight="14.4" x14ac:dyDescent="0.3"/>
  <cols>
    <col min="1" max="1" width="14.88671875" style="1" customWidth="1"/>
    <col min="2" max="2" width="26.21875" style="1" customWidth="1"/>
    <col min="3" max="3" width="16.5546875" style="1" customWidth="1"/>
    <col min="4" max="4" width="15.33203125" style="1" customWidth="1"/>
    <col min="5" max="5" width="21.5546875" style="6" customWidth="1"/>
    <col min="6" max="6" width="19.6640625" style="8" customWidth="1"/>
    <col min="7" max="7" width="18.33203125" style="1" customWidth="1"/>
    <col min="8" max="8" width="21.77734375" style="4" customWidth="1"/>
  </cols>
  <sheetData>
    <row r="1" spans="1:24" s="33" customFormat="1" ht="21" x14ac:dyDescent="0.4">
      <c r="A1" s="34" t="s">
        <v>0</v>
      </c>
      <c r="B1" s="35" t="s">
        <v>1</v>
      </c>
      <c r="C1" s="35" t="s">
        <v>2</v>
      </c>
      <c r="D1" s="35" t="s">
        <v>3</v>
      </c>
      <c r="E1" s="36" t="s">
        <v>4</v>
      </c>
      <c r="F1" s="37" t="s">
        <v>5</v>
      </c>
      <c r="G1" s="35" t="s">
        <v>6</v>
      </c>
      <c r="H1" s="38" t="s">
        <v>136</v>
      </c>
      <c r="I1" s="39"/>
      <c r="J1" s="39"/>
      <c r="K1" s="39"/>
      <c r="L1" s="39"/>
      <c r="M1" s="39"/>
      <c r="N1" s="39"/>
      <c r="O1" s="40"/>
      <c r="P1" s="39"/>
      <c r="Q1" s="39"/>
      <c r="R1" s="39"/>
      <c r="S1" s="39"/>
      <c r="T1" s="39"/>
      <c r="U1" s="39"/>
      <c r="V1" s="39"/>
      <c r="W1" s="39"/>
      <c r="X1" s="40"/>
    </row>
    <row r="2" spans="1:24" x14ac:dyDescent="0.3">
      <c r="A2" s="1">
        <v>1</v>
      </c>
      <c r="B2" s="1" t="s">
        <v>48</v>
      </c>
      <c r="C2" s="1" t="s">
        <v>56</v>
      </c>
      <c r="D2" s="1" t="s">
        <v>53</v>
      </c>
      <c r="E2" s="6">
        <v>2013</v>
      </c>
      <c r="F2" s="8" t="s">
        <v>54</v>
      </c>
      <c r="G2" s="1" t="s">
        <v>55</v>
      </c>
      <c r="H2" s="4">
        <v>6.3</v>
      </c>
    </row>
    <row r="3" spans="1:24" x14ac:dyDescent="0.3">
      <c r="A3" s="1">
        <v>2</v>
      </c>
      <c r="B3" s="1" t="s">
        <v>57</v>
      </c>
      <c r="C3" s="1" t="s">
        <v>56</v>
      </c>
      <c r="D3" s="1" t="s">
        <v>53</v>
      </c>
      <c r="E3" s="6">
        <v>2007</v>
      </c>
      <c r="F3" s="8" t="s">
        <v>59</v>
      </c>
      <c r="G3" s="1" t="s">
        <v>58</v>
      </c>
      <c r="H3" s="4">
        <v>7.5</v>
      </c>
    </row>
    <row r="4" spans="1:24" x14ac:dyDescent="0.3">
      <c r="A4" s="1">
        <v>3</v>
      </c>
      <c r="B4" s="1" t="s">
        <v>8</v>
      </c>
      <c r="C4" s="1" t="s">
        <v>56</v>
      </c>
      <c r="D4" s="1" t="s">
        <v>64</v>
      </c>
      <c r="E4" s="6">
        <v>2010</v>
      </c>
      <c r="F4" s="8" t="s">
        <v>60</v>
      </c>
      <c r="G4" s="1" t="s">
        <v>61</v>
      </c>
      <c r="H4" s="4">
        <v>8.8000000000000007</v>
      </c>
    </row>
    <row r="5" spans="1:24" x14ac:dyDescent="0.3">
      <c r="A5" s="1">
        <v>4</v>
      </c>
      <c r="B5" s="1" t="s">
        <v>7</v>
      </c>
      <c r="C5" s="1" t="s">
        <v>56</v>
      </c>
      <c r="D5" s="1" t="s">
        <v>64</v>
      </c>
      <c r="E5" s="6">
        <v>1997</v>
      </c>
      <c r="F5" s="8" t="s">
        <v>62</v>
      </c>
      <c r="G5" s="1" t="s">
        <v>63</v>
      </c>
      <c r="H5" s="4">
        <v>8</v>
      </c>
    </row>
    <row r="6" spans="1:24" x14ac:dyDescent="0.3">
      <c r="A6" s="1">
        <v>5</v>
      </c>
      <c r="B6" s="1" t="s">
        <v>9</v>
      </c>
      <c r="C6" s="1" t="s">
        <v>56</v>
      </c>
      <c r="D6" s="1" t="s">
        <v>64</v>
      </c>
      <c r="E6" s="6">
        <v>2017</v>
      </c>
      <c r="F6" s="8" t="s">
        <v>66</v>
      </c>
      <c r="G6" s="1" t="s">
        <v>65</v>
      </c>
      <c r="H6" s="4">
        <v>7.8</v>
      </c>
    </row>
    <row r="7" spans="1:24" x14ac:dyDescent="0.3">
      <c r="A7" s="1">
        <v>6</v>
      </c>
      <c r="B7" s="1" t="s">
        <v>10</v>
      </c>
      <c r="C7" s="1" t="s">
        <v>56</v>
      </c>
      <c r="D7" s="1" t="s">
        <v>64</v>
      </c>
      <c r="E7" s="6">
        <v>2024</v>
      </c>
      <c r="F7" s="8" t="s">
        <v>68</v>
      </c>
      <c r="G7" s="1" t="s">
        <v>67</v>
      </c>
      <c r="H7" s="4">
        <v>7</v>
      </c>
    </row>
    <row r="8" spans="1:24" x14ac:dyDescent="0.3">
      <c r="A8" s="1">
        <v>7</v>
      </c>
      <c r="B8" s="1" t="s">
        <v>11</v>
      </c>
      <c r="C8" s="1" t="s">
        <v>56</v>
      </c>
      <c r="D8" s="1" t="s">
        <v>64</v>
      </c>
      <c r="E8" s="6">
        <v>2013</v>
      </c>
      <c r="F8" s="8" t="s">
        <v>69</v>
      </c>
      <c r="G8" s="1" t="s">
        <v>65</v>
      </c>
      <c r="H8" s="4">
        <v>7.5</v>
      </c>
    </row>
    <row r="9" spans="1:24" x14ac:dyDescent="0.3">
      <c r="A9" s="1">
        <v>8</v>
      </c>
      <c r="B9" s="1" t="s">
        <v>12</v>
      </c>
      <c r="C9" s="1" t="s">
        <v>56</v>
      </c>
      <c r="D9" s="1" t="s">
        <v>64</v>
      </c>
      <c r="E9" s="6">
        <v>2018</v>
      </c>
      <c r="F9" s="8" t="s">
        <v>70</v>
      </c>
      <c r="G9" s="1" t="s">
        <v>65</v>
      </c>
      <c r="H9" s="4">
        <v>5.4</v>
      </c>
    </row>
    <row r="10" spans="1:24" x14ac:dyDescent="0.3">
      <c r="A10" s="1">
        <v>9</v>
      </c>
      <c r="B10" s="1" t="s">
        <v>13</v>
      </c>
      <c r="C10" s="1" t="s">
        <v>56</v>
      </c>
      <c r="D10" s="1" t="s">
        <v>64</v>
      </c>
      <c r="E10" s="6">
        <v>2013</v>
      </c>
      <c r="F10" s="8" t="s">
        <v>66</v>
      </c>
      <c r="G10" s="1" t="s">
        <v>65</v>
      </c>
      <c r="H10" s="4">
        <v>6.6</v>
      </c>
    </row>
    <row r="11" spans="1:24" x14ac:dyDescent="0.3">
      <c r="A11" s="1">
        <v>10</v>
      </c>
      <c r="B11" s="1" t="s">
        <v>14</v>
      </c>
      <c r="C11" s="1" t="s">
        <v>71</v>
      </c>
      <c r="D11" s="1" t="s">
        <v>72</v>
      </c>
      <c r="E11" s="6">
        <v>2020</v>
      </c>
      <c r="F11" s="8" t="s">
        <v>73</v>
      </c>
      <c r="G11" s="1" t="s">
        <v>74</v>
      </c>
      <c r="H11" s="4">
        <v>7.2</v>
      </c>
    </row>
    <row r="12" spans="1:24" x14ac:dyDescent="0.3">
      <c r="A12" s="1">
        <v>11</v>
      </c>
      <c r="B12" s="1" t="s">
        <v>15</v>
      </c>
      <c r="C12" s="1" t="s">
        <v>71</v>
      </c>
      <c r="D12" s="1" t="s">
        <v>72</v>
      </c>
      <c r="E12" s="6">
        <v>2025</v>
      </c>
      <c r="F12" s="8" t="s">
        <v>75</v>
      </c>
      <c r="G12" s="1" t="s">
        <v>76</v>
      </c>
      <c r="H12" s="4">
        <v>7.2</v>
      </c>
    </row>
    <row r="13" spans="1:24" x14ac:dyDescent="0.3">
      <c r="A13" s="1">
        <v>12</v>
      </c>
      <c r="B13" s="1" t="s">
        <v>16</v>
      </c>
      <c r="C13" s="1" t="s">
        <v>71</v>
      </c>
      <c r="D13" s="1" t="s">
        <v>72</v>
      </c>
      <c r="E13" s="6">
        <v>2020</v>
      </c>
      <c r="F13" s="8" t="s">
        <v>75</v>
      </c>
      <c r="G13" s="1" t="s">
        <v>77</v>
      </c>
      <c r="H13" s="4">
        <v>7.9</v>
      </c>
    </row>
    <row r="14" spans="1:24" x14ac:dyDescent="0.3">
      <c r="A14" s="1">
        <v>13</v>
      </c>
      <c r="B14" s="1" t="s">
        <v>17</v>
      </c>
      <c r="C14" s="1" t="s">
        <v>56</v>
      </c>
      <c r="D14" s="1" t="s">
        <v>53</v>
      </c>
      <c r="E14" s="6">
        <v>2011</v>
      </c>
      <c r="F14" s="8" t="s">
        <v>86</v>
      </c>
      <c r="G14" s="1" t="s">
        <v>87</v>
      </c>
      <c r="H14" s="4">
        <v>6.7</v>
      </c>
    </row>
    <row r="15" spans="1:24" x14ac:dyDescent="0.3">
      <c r="A15" s="1">
        <v>14</v>
      </c>
      <c r="B15" s="1" t="s">
        <v>18</v>
      </c>
      <c r="C15" s="1" t="s">
        <v>56</v>
      </c>
      <c r="D15" s="1" t="s">
        <v>81</v>
      </c>
      <c r="E15" s="6">
        <v>2021</v>
      </c>
      <c r="F15" s="8" t="s">
        <v>89</v>
      </c>
      <c r="G15" s="1" t="s">
        <v>88</v>
      </c>
      <c r="H15" s="4">
        <v>6.5</v>
      </c>
    </row>
    <row r="16" spans="1:24" x14ac:dyDescent="0.3">
      <c r="A16" s="1">
        <v>15</v>
      </c>
      <c r="B16" s="1" t="s">
        <v>83</v>
      </c>
      <c r="C16" s="1" t="s">
        <v>56</v>
      </c>
      <c r="D16" s="1" t="s">
        <v>84</v>
      </c>
      <c r="E16" s="6">
        <v>2017</v>
      </c>
      <c r="F16" s="8" t="s">
        <v>85</v>
      </c>
      <c r="G16" s="1" t="s">
        <v>65</v>
      </c>
      <c r="H16" s="4">
        <v>6.5</v>
      </c>
    </row>
    <row r="17" spans="1:8" x14ac:dyDescent="0.3">
      <c r="A17" s="1">
        <v>16</v>
      </c>
      <c r="B17" s="1" t="s">
        <v>19</v>
      </c>
      <c r="C17" s="1" t="s">
        <v>56</v>
      </c>
      <c r="D17" s="1" t="s">
        <v>81</v>
      </c>
      <c r="E17" s="6">
        <v>2023</v>
      </c>
      <c r="F17" s="8" t="s">
        <v>90</v>
      </c>
      <c r="G17" s="1" t="s">
        <v>67</v>
      </c>
      <c r="H17" s="4">
        <v>5.9</v>
      </c>
    </row>
    <row r="18" spans="1:8" x14ac:dyDescent="0.3">
      <c r="A18" s="1">
        <v>17</v>
      </c>
      <c r="B18" s="1" t="s">
        <v>20</v>
      </c>
      <c r="C18" s="1" t="s">
        <v>56</v>
      </c>
      <c r="D18" s="1" t="s">
        <v>64</v>
      </c>
      <c r="E18" s="6">
        <v>2014</v>
      </c>
      <c r="F18" s="8" t="s">
        <v>91</v>
      </c>
      <c r="G18" s="1" t="s">
        <v>61</v>
      </c>
      <c r="H18" s="4">
        <v>6.4</v>
      </c>
    </row>
    <row r="19" spans="1:8" x14ac:dyDescent="0.3">
      <c r="A19" s="1">
        <v>18</v>
      </c>
      <c r="B19" s="1" t="s">
        <v>92</v>
      </c>
      <c r="C19" s="1" t="s">
        <v>56</v>
      </c>
      <c r="D19" s="1" t="s">
        <v>64</v>
      </c>
      <c r="E19" s="6">
        <v>2021</v>
      </c>
      <c r="F19" s="8" t="s">
        <v>68</v>
      </c>
      <c r="G19" s="1" t="s">
        <v>93</v>
      </c>
      <c r="H19" s="4">
        <v>6.2</v>
      </c>
    </row>
    <row r="20" spans="1:8" x14ac:dyDescent="0.3">
      <c r="A20" s="1">
        <v>19</v>
      </c>
      <c r="B20" s="1" t="s">
        <v>94</v>
      </c>
      <c r="C20" s="1" t="s">
        <v>56</v>
      </c>
      <c r="D20" s="1" t="s">
        <v>72</v>
      </c>
      <c r="E20" s="6">
        <v>2024</v>
      </c>
      <c r="F20" s="8" t="s">
        <v>95</v>
      </c>
      <c r="G20" s="1" t="s">
        <v>65</v>
      </c>
      <c r="H20" s="4">
        <v>6.9</v>
      </c>
    </row>
    <row r="21" spans="1:8" x14ac:dyDescent="0.3">
      <c r="A21" s="1">
        <v>20</v>
      </c>
      <c r="B21" s="1" t="s">
        <v>21</v>
      </c>
      <c r="C21" s="1" t="s">
        <v>56</v>
      </c>
      <c r="D21" s="1" t="s">
        <v>72</v>
      </c>
      <c r="E21" s="6">
        <v>2016</v>
      </c>
      <c r="F21" s="8" t="s">
        <v>96</v>
      </c>
      <c r="G21" s="1" t="s">
        <v>65</v>
      </c>
      <c r="H21" s="4">
        <v>7.4</v>
      </c>
    </row>
    <row r="22" spans="1:8" x14ac:dyDescent="0.3">
      <c r="A22" s="1">
        <v>21</v>
      </c>
      <c r="B22" s="1" t="s">
        <v>22</v>
      </c>
      <c r="C22" s="1" t="s">
        <v>56</v>
      </c>
      <c r="D22" s="1" t="s">
        <v>72</v>
      </c>
      <c r="E22" s="6">
        <v>2020</v>
      </c>
      <c r="F22" s="8" t="s">
        <v>69</v>
      </c>
      <c r="G22" s="1" t="s">
        <v>97</v>
      </c>
      <c r="H22" s="4">
        <v>7.1</v>
      </c>
    </row>
    <row r="23" spans="1:8" x14ac:dyDescent="0.3">
      <c r="A23" s="1">
        <v>22</v>
      </c>
      <c r="B23" s="1" t="s">
        <v>23</v>
      </c>
      <c r="C23" s="1" t="s">
        <v>56</v>
      </c>
      <c r="D23" s="1" t="s">
        <v>72</v>
      </c>
      <c r="E23" s="6">
        <v>2019</v>
      </c>
      <c r="F23" s="8" t="s">
        <v>99</v>
      </c>
      <c r="G23" s="1" t="s">
        <v>98</v>
      </c>
      <c r="H23" s="4">
        <v>8.5</v>
      </c>
    </row>
    <row r="24" spans="1:8" x14ac:dyDescent="0.3">
      <c r="A24" s="1">
        <v>23</v>
      </c>
      <c r="B24" s="1" t="s">
        <v>24</v>
      </c>
      <c r="C24" s="1" t="s">
        <v>56</v>
      </c>
      <c r="D24" s="1" t="s">
        <v>64</v>
      </c>
      <c r="E24" s="6">
        <v>2019</v>
      </c>
      <c r="F24" s="8" t="s">
        <v>125</v>
      </c>
      <c r="G24" s="1" t="s">
        <v>124</v>
      </c>
      <c r="H24" s="4">
        <v>8.3000000000000007</v>
      </c>
    </row>
    <row r="25" spans="1:8" x14ac:dyDescent="0.3">
      <c r="A25" s="1">
        <v>24</v>
      </c>
      <c r="B25" s="1" t="s">
        <v>25</v>
      </c>
      <c r="C25" s="1" t="s">
        <v>56</v>
      </c>
      <c r="D25" s="1" t="s">
        <v>64</v>
      </c>
      <c r="E25" s="6">
        <v>2014</v>
      </c>
      <c r="F25" s="8" t="s">
        <v>126</v>
      </c>
      <c r="G25" s="1" t="s">
        <v>123</v>
      </c>
      <c r="H25" s="4">
        <v>8.6999999999999993</v>
      </c>
    </row>
    <row r="26" spans="1:8" x14ac:dyDescent="0.3">
      <c r="A26" s="1">
        <v>25</v>
      </c>
      <c r="B26" s="1" t="s">
        <v>100</v>
      </c>
      <c r="C26" s="1" t="s">
        <v>71</v>
      </c>
      <c r="D26" s="1" t="s">
        <v>72</v>
      </c>
      <c r="E26" s="6">
        <v>2023</v>
      </c>
      <c r="F26" s="8" t="s">
        <v>127</v>
      </c>
      <c r="G26" s="1" t="s">
        <v>76</v>
      </c>
      <c r="H26" s="4">
        <v>8.1</v>
      </c>
    </row>
    <row r="27" spans="1:8" x14ac:dyDescent="0.3">
      <c r="A27" s="1">
        <v>26</v>
      </c>
      <c r="B27" s="1" t="s">
        <v>26</v>
      </c>
      <c r="C27" s="1" t="s">
        <v>56</v>
      </c>
      <c r="D27" s="1" t="s">
        <v>64</v>
      </c>
      <c r="E27" s="6">
        <v>2012</v>
      </c>
      <c r="F27" s="8" t="s">
        <v>54</v>
      </c>
      <c r="G27" s="1" t="s">
        <v>122</v>
      </c>
      <c r="H27" s="4">
        <v>8</v>
      </c>
    </row>
    <row r="28" spans="1:8" x14ac:dyDescent="0.3">
      <c r="A28" s="1">
        <v>27</v>
      </c>
      <c r="B28" s="1" t="s">
        <v>27</v>
      </c>
      <c r="C28" s="1" t="s">
        <v>56</v>
      </c>
      <c r="D28" s="1" t="s">
        <v>80</v>
      </c>
      <c r="E28" s="6">
        <v>2024</v>
      </c>
      <c r="F28" s="8" t="s">
        <v>89</v>
      </c>
      <c r="G28" s="1" t="s">
        <v>121</v>
      </c>
      <c r="H28" s="4">
        <v>7.5</v>
      </c>
    </row>
    <row r="29" spans="1:8" x14ac:dyDescent="0.3">
      <c r="A29" s="1">
        <v>28</v>
      </c>
      <c r="B29" s="1" t="s">
        <v>28</v>
      </c>
      <c r="C29" s="1" t="s">
        <v>56</v>
      </c>
      <c r="D29" s="1" t="s">
        <v>72</v>
      </c>
      <c r="E29" s="6">
        <v>2018</v>
      </c>
      <c r="F29" s="8" t="s">
        <v>128</v>
      </c>
      <c r="G29" s="1" t="s">
        <v>120</v>
      </c>
      <c r="H29" s="4">
        <v>6.4</v>
      </c>
    </row>
    <row r="30" spans="1:8" x14ac:dyDescent="0.3">
      <c r="A30" s="1">
        <v>29</v>
      </c>
      <c r="B30" s="1" t="s">
        <v>29</v>
      </c>
      <c r="C30" s="1" t="s">
        <v>56</v>
      </c>
      <c r="D30" s="1" t="s">
        <v>72</v>
      </c>
      <c r="E30" s="6">
        <v>2025</v>
      </c>
      <c r="F30" s="8" t="s">
        <v>129</v>
      </c>
      <c r="G30" s="1" t="s">
        <v>119</v>
      </c>
      <c r="H30" s="4">
        <v>5.4</v>
      </c>
    </row>
    <row r="31" spans="1:8" x14ac:dyDescent="0.3">
      <c r="A31" s="1">
        <v>30</v>
      </c>
      <c r="B31" s="1" t="s">
        <v>30</v>
      </c>
      <c r="C31" s="1" t="s">
        <v>56</v>
      </c>
      <c r="D31" s="1" t="s">
        <v>64</v>
      </c>
      <c r="E31" s="6">
        <v>2015</v>
      </c>
      <c r="F31" s="8" t="s">
        <v>101</v>
      </c>
      <c r="G31" s="1" t="s">
        <v>65</v>
      </c>
      <c r="H31" s="4">
        <v>7</v>
      </c>
    </row>
    <row r="32" spans="1:8" x14ac:dyDescent="0.3">
      <c r="A32" s="1">
        <v>31</v>
      </c>
      <c r="B32" s="1" t="s">
        <v>31</v>
      </c>
      <c r="C32" s="1" t="s">
        <v>56</v>
      </c>
      <c r="D32" s="1" t="s">
        <v>72</v>
      </c>
      <c r="E32" s="6">
        <v>2024</v>
      </c>
      <c r="F32" s="8" t="s">
        <v>130</v>
      </c>
      <c r="G32" s="1" t="s">
        <v>67</v>
      </c>
      <c r="H32" s="4">
        <v>5.7</v>
      </c>
    </row>
    <row r="33" spans="1:8" x14ac:dyDescent="0.3">
      <c r="A33" s="1">
        <v>32</v>
      </c>
      <c r="B33" s="1" t="s">
        <v>32</v>
      </c>
      <c r="C33" s="1" t="s">
        <v>56</v>
      </c>
      <c r="D33" s="1" t="s">
        <v>72</v>
      </c>
      <c r="E33" s="6">
        <v>2021</v>
      </c>
      <c r="F33" s="8" t="s">
        <v>103</v>
      </c>
      <c r="G33" s="1" t="s">
        <v>102</v>
      </c>
      <c r="H33" s="4">
        <v>6.5</v>
      </c>
    </row>
    <row r="34" spans="1:8" x14ac:dyDescent="0.3">
      <c r="A34" s="1">
        <v>33</v>
      </c>
      <c r="B34" s="1" t="s">
        <v>33</v>
      </c>
      <c r="C34" s="1" t="s">
        <v>71</v>
      </c>
      <c r="D34" s="1" t="s">
        <v>53</v>
      </c>
      <c r="E34" s="6">
        <v>2023</v>
      </c>
      <c r="F34" s="8" t="s">
        <v>75</v>
      </c>
      <c r="G34" s="1" t="s">
        <v>104</v>
      </c>
      <c r="H34" s="4">
        <v>7.8</v>
      </c>
    </row>
    <row r="35" spans="1:8" x14ac:dyDescent="0.3">
      <c r="A35" s="1">
        <v>34</v>
      </c>
      <c r="B35" s="1" t="s">
        <v>34</v>
      </c>
      <c r="C35" s="1" t="s">
        <v>56</v>
      </c>
      <c r="D35" s="1" t="s">
        <v>72</v>
      </c>
      <c r="E35" s="6">
        <v>2023</v>
      </c>
      <c r="F35" s="8" t="s">
        <v>69</v>
      </c>
      <c r="G35" s="1" t="s">
        <v>118</v>
      </c>
      <c r="H35" s="4">
        <v>6.6</v>
      </c>
    </row>
    <row r="36" spans="1:8" x14ac:dyDescent="0.3">
      <c r="A36" s="1">
        <v>35</v>
      </c>
      <c r="B36" s="1" t="s">
        <v>46</v>
      </c>
      <c r="C36" s="1" t="s">
        <v>71</v>
      </c>
      <c r="D36" s="1" t="s">
        <v>72</v>
      </c>
      <c r="E36" s="6">
        <v>2022</v>
      </c>
      <c r="F36" s="8" t="s">
        <v>75</v>
      </c>
      <c r="G36" s="1" t="s">
        <v>74</v>
      </c>
      <c r="H36" s="4">
        <v>7.6</v>
      </c>
    </row>
    <row r="37" spans="1:8" x14ac:dyDescent="0.3">
      <c r="A37" s="1">
        <v>36</v>
      </c>
      <c r="B37" s="1" t="s">
        <v>35</v>
      </c>
      <c r="C37" s="1" t="s">
        <v>56</v>
      </c>
      <c r="D37" s="1" t="s">
        <v>72</v>
      </c>
      <c r="E37" s="6">
        <v>2016</v>
      </c>
      <c r="F37" s="8" t="s">
        <v>131</v>
      </c>
      <c r="G37" s="1" t="s">
        <v>117</v>
      </c>
      <c r="H37" s="4">
        <v>7.6</v>
      </c>
    </row>
    <row r="38" spans="1:8" x14ac:dyDescent="0.3">
      <c r="A38" s="1">
        <v>37</v>
      </c>
      <c r="B38" s="1" t="s">
        <v>36</v>
      </c>
      <c r="C38" s="1" t="s">
        <v>56</v>
      </c>
      <c r="D38" s="1" t="s">
        <v>82</v>
      </c>
      <c r="E38" s="6">
        <v>2022</v>
      </c>
      <c r="F38" s="8" t="s">
        <v>68</v>
      </c>
      <c r="G38" s="1" t="s">
        <v>116</v>
      </c>
      <c r="H38" s="4">
        <v>6.3</v>
      </c>
    </row>
    <row r="39" spans="1:8" x14ac:dyDescent="0.3">
      <c r="A39" s="1">
        <v>38</v>
      </c>
      <c r="B39" s="1" t="s">
        <v>37</v>
      </c>
      <c r="C39" s="1" t="s">
        <v>56</v>
      </c>
      <c r="D39" s="1" t="s">
        <v>72</v>
      </c>
      <c r="E39" s="6">
        <v>2023</v>
      </c>
      <c r="F39" s="8" t="s">
        <v>131</v>
      </c>
      <c r="G39" s="1" t="s">
        <v>115</v>
      </c>
      <c r="H39" s="4">
        <v>6.9</v>
      </c>
    </row>
    <row r="40" spans="1:8" x14ac:dyDescent="0.3">
      <c r="A40" s="1">
        <v>39</v>
      </c>
      <c r="B40" s="1" t="s">
        <v>38</v>
      </c>
      <c r="C40" s="1" t="s">
        <v>71</v>
      </c>
      <c r="D40" s="1" t="s">
        <v>78</v>
      </c>
      <c r="E40" s="6">
        <v>2020</v>
      </c>
      <c r="F40" s="8" t="s">
        <v>73</v>
      </c>
      <c r="G40" s="1" t="s">
        <v>102</v>
      </c>
      <c r="H40" s="4">
        <v>7.8</v>
      </c>
    </row>
    <row r="41" spans="1:8" x14ac:dyDescent="0.3">
      <c r="A41" s="1">
        <v>40</v>
      </c>
      <c r="B41" s="1" t="s">
        <v>39</v>
      </c>
      <c r="C41" s="1" t="s">
        <v>56</v>
      </c>
      <c r="D41" s="1" t="s">
        <v>72</v>
      </c>
      <c r="E41" s="6">
        <v>2017</v>
      </c>
      <c r="F41" s="8" t="s">
        <v>132</v>
      </c>
      <c r="G41" s="1" t="s">
        <v>114</v>
      </c>
      <c r="H41" s="4">
        <v>7.4</v>
      </c>
    </row>
    <row r="42" spans="1:8" x14ac:dyDescent="0.3">
      <c r="A42" s="1">
        <v>41</v>
      </c>
      <c r="B42" s="1" t="s">
        <v>105</v>
      </c>
      <c r="C42" s="1" t="s">
        <v>56</v>
      </c>
      <c r="D42" s="1" t="s">
        <v>53</v>
      </c>
      <c r="E42" s="6">
        <v>2018</v>
      </c>
      <c r="F42" s="8" t="s">
        <v>66</v>
      </c>
      <c r="G42" s="1" t="s">
        <v>88</v>
      </c>
      <c r="H42" s="4">
        <v>8.1999999999999993</v>
      </c>
    </row>
    <row r="43" spans="1:8" x14ac:dyDescent="0.3">
      <c r="A43" s="1">
        <v>42</v>
      </c>
      <c r="B43" s="1" t="s">
        <v>106</v>
      </c>
      <c r="C43" s="1" t="s">
        <v>56</v>
      </c>
      <c r="D43" s="1" t="s">
        <v>64</v>
      </c>
      <c r="E43" s="6">
        <v>1973</v>
      </c>
      <c r="F43" s="8" t="s">
        <v>125</v>
      </c>
      <c r="G43" s="1" t="s">
        <v>65</v>
      </c>
      <c r="H43" s="4">
        <v>8.1</v>
      </c>
    </row>
    <row r="44" spans="1:8" x14ac:dyDescent="0.3">
      <c r="A44" s="1">
        <v>43</v>
      </c>
      <c r="B44" s="1" t="s">
        <v>43</v>
      </c>
      <c r="C44" s="1" t="s">
        <v>56</v>
      </c>
      <c r="D44" s="1" t="s">
        <v>79</v>
      </c>
      <c r="E44" s="6">
        <v>2023</v>
      </c>
      <c r="F44" s="8" t="s">
        <v>133</v>
      </c>
      <c r="G44" s="1" t="s">
        <v>65</v>
      </c>
      <c r="H44" s="4">
        <v>5.8</v>
      </c>
    </row>
    <row r="45" spans="1:8" x14ac:dyDescent="0.3">
      <c r="A45" s="1">
        <v>44</v>
      </c>
      <c r="B45" s="1" t="s">
        <v>40</v>
      </c>
      <c r="C45" s="1" t="s">
        <v>71</v>
      </c>
      <c r="D45" s="1" t="s">
        <v>72</v>
      </c>
      <c r="E45" s="6">
        <v>2021</v>
      </c>
      <c r="F45" s="8" t="s">
        <v>75</v>
      </c>
      <c r="G45" s="1" t="s">
        <v>113</v>
      </c>
      <c r="H45" s="4">
        <v>8.4</v>
      </c>
    </row>
    <row r="46" spans="1:8" x14ac:dyDescent="0.3">
      <c r="A46" s="1">
        <v>45</v>
      </c>
      <c r="B46" s="1" t="s">
        <v>41</v>
      </c>
      <c r="C46" s="1" t="s">
        <v>56</v>
      </c>
      <c r="D46" s="1" t="s">
        <v>72</v>
      </c>
      <c r="E46" s="6">
        <v>2021</v>
      </c>
      <c r="F46" s="8" t="s">
        <v>134</v>
      </c>
      <c r="G46" s="1" t="s">
        <v>65</v>
      </c>
      <c r="H46" s="4">
        <v>5.3</v>
      </c>
    </row>
    <row r="47" spans="1:8" x14ac:dyDescent="0.3">
      <c r="A47" s="1">
        <v>46</v>
      </c>
      <c r="B47" s="1" t="s">
        <v>42</v>
      </c>
      <c r="C47" s="1" t="s">
        <v>71</v>
      </c>
      <c r="D47" s="1" t="s">
        <v>72</v>
      </c>
      <c r="E47" s="6">
        <v>2022</v>
      </c>
      <c r="F47" s="8" t="s">
        <v>75</v>
      </c>
      <c r="G47" s="1" t="s">
        <v>110</v>
      </c>
      <c r="H47" s="4">
        <v>8</v>
      </c>
    </row>
    <row r="48" spans="1:8" x14ac:dyDescent="0.3">
      <c r="A48" s="1">
        <v>47</v>
      </c>
      <c r="B48" s="1" t="s">
        <v>44</v>
      </c>
      <c r="C48" s="1" t="s">
        <v>71</v>
      </c>
      <c r="D48" s="1" t="s">
        <v>72</v>
      </c>
      <c r="E48" s="6">
        <v>2022</v>
      </c>
      <c r="F48" s="8" t="s">
        <v>75</v>
      </c>
      <c r="G48" s="1" t="s">
        <v>74</v>
      </c>
      <c r="H48" s="4">
        <v>6.5</v>
      </c>
    </row>
    <row r="49" spans="1:8" x14ac:dyDescent="0.3">
      <c r="A49" s="1">
        <v>48</v>
      </c>
      <c r="B49" s="1" t="s">
        <v>111</v>
      </c>
      <c r="C49" s="1" t="s">
        <v>71</v>
      </c>
      <c r="D49" s="1" t="s">
        <v>72</v>
      </c>
      <c r="E49" s="6">
        <v>2022</v>
      </c>
      <c r="F49" s="8" t="s">
        <v>127</v>
      </c>
      <c r="G49" s="1" t="s">
        <v>76</v>
      </c>
      <c r="H49" s="4">
        <v>7</v>
      </c>
    </row>
    <row r="50" spans="1:8" x14ac:dyDescent="0.3">
      <c r="A50" s="1">
        <v>49</v>
      </c>
      <c r="B50" s="1" t="s">
        <v>45</v>
      </c>
      <c r="C50" s="1" t="s">
        <v>56</v>
      </c>
      <c r="D50" s="1" t="s">
        <v>78</v>
      </c>
      <c r="E50" s="6">
        <v>1998</v>
      </c>
      <c r="F50" s="8" t="s">
        <v>70</v>
      </c>
      <c r="G50" s="1" t="s">
        <v>65</v>
      </c>
      <c r="H50" s="4">
        <v>7.2</v>
      </c>
    </row>
    <row r="51" spans="1:8" x14ac:dyDescent="0.3">
      <c r="A51" s="1">
        <v>50</v>
      </c>
      <c r="B51" s="1" t="s">
        <v>47</v>
      </c>
      <c r="C51" s="1" t="s">
        <v>56</v>
      </c>
      <c r="D51" s="1" t="s">
        <v>64</v>
      </c>
      <c r="E51" s="6">
        <v>2010</v>
      </c>
      <c r="F51" s="8" t="s">
        <v>103</v>
      </c>
      <c r="G51" s="1" t="s">
        <v>65</v>
      </c>
      <c r="H51" s="4">
        <v>6.8</v>
      </c>
    </row>
    <row r="52" spans="1:8" x14ac:dyDescent="0.3">
      <c r="A52" s="1">
        <v>51</v>
      </c>
      <c r="B52" s="1" t="s">
        <v>49</v>
      </c>
      <c r="C52" s="1" t="s">
        <v>56</v>
      </c>
      <c r="D52" s="1" t="s">
        <v>53</v>
      </c>
      <c r="E52" s="6">
        <v>2016</v>
      </c>
      <c r="F52" s="8" t="s">
        <v>90</v>
      </c>
      <c r="G52" s="1" t="s">
        <v>112</v>
      </c>
      <c r="H52" s="4">
        <v>8.3000000000000007</v>
      </c>
    </row>
    <row r="53" spans="1:8" x14ac:dyDescent="0.3">
      <c r="A53" s="1">
        <v>52</v>
      </c>
      <c r="B53" s="1" t="s">
        <v>50</v>
      </c>
      <c r="C53" s="1" t="s">
        <v>71</v>
      </c>
      <c r="D53" s="1" t="s">
        <v>79</v>
      </c>
      <c r="E53" s="6">
        <v>2017</v>
      </c>
      <c r="F53" s="8" t="s">
        <v>135</v>
      </c>
      <c r="G53" s="1" t="s">
        <v>102</v>
      </c>
      <c r="H53" s="4">
        <v>8.1999999999999993</v>
      </c>
    </row>
    <row r="54" spans="1:8" x14ac:dyDescent="0.3">
      <c r="A54" s="1">
        <v>53</v>
      </c>
      <c r="B54" s="1" t="s">
        <v>51</v>
      </c>
      <c r="C54" s="1" t="s">
        <v>71</v>
      </c>
      <c r="D54" s="1" t="s">
        <v>64</v>
      </c>
      <c r="E54" s="6">
        <v>2016</v>
      </c>
      <c r="F54" s="8" t="s">
        <v>135</v>
      </c>
      <c r="G54" s="1" t="s">
        <v>74</v>
      </c>
      <c r="H54" s="4">
        <v>8.6</v>
      </c>
    </row>
    <row r="55" spans="1:8" x14ac:dyDescent="0.3">
      <c r="A55" s="1">
        <v>54</v>
      </c>
      <c r="B55" s="1" t="s">
        <v>52</v>
      </c>
      <c r="C55" s="1" t="s">
        <v>71</v>
      </c>
      <c r="D55" s="1" t="s">
        <v>72</v>
      </c>
      <c r="E55" s="6">
        <v>2021</v>
      </c>
      <c r="F55" s="8" t="s">
        <v>73</v>
      </c>
      <c r="G55" s="1" t="s">
        <v>102</v>
      </c>
      <c r="H55" s="4">
        <v>7.9</v>
      </c>
    </row>
    <row r="56" spans="1:8" ht="28.8" x14ac:dyDescent="0.3">
      <c r="A56" s="1">
        <v>55</v>
      </c>
      <c r="B56" s="2" t="s">
        <v>107</v>
      </c>
      <c r="C56" s="3" t="s">
        <v>71</v>
      </c>
      <c r="D56" s="3" t="s">
        <v>64</v>
      </c>
      <c r="E56" s="7">
        <v>2007</v>
      </c>
      <c r="F56" s="9" t="s">
        <v>108</v>
      </c>
      <c r="G56" s="3" t="s">
        <v>109</v>
      </c>
      <c r="H56" s="5">
        <v>2.9</v>
      </c>
    </row>
    <row r="58" spans="1:8" x14ac:dyDescent="0.3">
      <c r="B58" s="30" t="s">
        <v>137</v>
      </c>
      <c r="C58" s="30" t="s">
        <v>138</v>
      </c>
      <c r="E58" s="31" t="s">
        <v>141</v>
      </c>
      <c r="H58" s="32" t="s">
        <v>140</v>
      </c>
    </row>
    <row r="59" spans="1:8" x14ac:dyDescent="0.3">
      <c r="B59" s="1">
        <f>COUNTA(B2:B56)</f>
        <v>55</v>
      </c>
      <c r="C59" s="1">
        <f>COUNTIF(C2:C56, "Movie")</f>
        <v>40</v>
      </c>
      <c r="E59" s="6">
        <f>MAX(E2:E56)</f>
        <v>2025</v>
      </c>
      <c r="H59" s="4">
        <f>AVERAGE(H2:H56)</f>
        <v>7.129090909090908</v>
      </c>
    </row>
    <row r="61" spans="1:8" x14ac:dyDescent="0.3">
      <c r="C61" s="30" t="s">
        <v>139</v>
      </c>
    </row>
    <row r="62" spans="1:8" x14ac:dyDescent="0.3">
      <c r="C62" s="1">
        <f>COUNTIF(C2:C56,"TV Show")</f>
        <v>15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5A55-43D0-40BD-BC5C-DDD4A2B99072}">
  <dimension ref="B1:L35"/>
  <sheetViews>
    <sheetView showGridLines="0" tabSelected="1" topLeftCell="A31" workbookViewId="0">
      <selection activeCell="T5" sqref="T5"/>
    </sheetView>
  </sheetViews>
  <sheetFormatPr defaultRowHeight="14.4" x14ac:dyDescent="0.3"/>
  <cols>
    <col min="1" max="1" width="7.44140625" customWidth="1"/>
    <col min="2" max="2" width="21.33203125" style="1" bestFit="1" customWidth="1"/>
    <col min="3" max="3" width="20" style="1" bestFit="1" customWidth="1"/>
    <col min="4" max="4" width="17.33203125" style="1" customWidth="1"/>
    <col min="5" max="5" width="21.33203125" style="1" bestFit="1" customWidth="1"/>
    <col min="6" max="6" width="20" bestFit="1" customWidth="1"/>
    <col min="7" max="7" width="19.5546875" style="1" customWidth="1"/>
    <col min="8" max="8" width="30.88671875" style="1" bestFit="1" customWidth="1"/>
    <col min="9" max="9" width="20" style="1" bestFit="1" customWidth="1"/>
    <col min="10" max="10" width="20.33203125" customWidth="1"/>
    <col min="11" max="11" width="30.88671875" style="1" bestFit="1" customWidth="1"/>
    <col min="12" max="12" width="28.44140625" style="1" bestFit="1" customWidth="1"/>
  </cols>
  <sheetData>
    <row r="1" spans="2:12" s="29" customFormat="1" ht="23.4" x14ac:dyDescent="0.45">
      <c r="B1" s="28" t="s">
        <v>149</v>
      </c>
      <c r="C1" s="28"/>
      <c r="D1" s="28"/>
      <c r="E1" s="28" t="s">
        <v>148</v>
      </c>
      <c r="G1" s="28"/>
      <c r="H1" s="28" t="s">
        <v>146</v>
      </c>
      <c r="I1" s="28"/>
      <c r="K1" s="28" t="s">
        <v>147</v>
      </c>
      <c r="L1" s="28"/>
    </row>
    <row r="2" spans="2:12" ht="19.2" customHeight="1" x14ac:dyDescent="0.3"/>
    <row r="3" spans="2:12" ht="23.4" x14ac:dyDescent="0.45">
      <c r="B3" s="10" t="s">
        <v>142</v>
      </c>
      <c r="C3" s="11" t="s">
        <v>144</v>
      </c>
      <c r="D3" s="13"/>
      <c r="E3" s="10" t="s">
        <v>142</v>
      </c>
      <c r="F3" s="11" t="s">
        <v>144</v>
      </c>
      <c r="H3" s="10" t="s">
        <v>142</v>
      </c>
      <c r="I3" s="11" t="s">
        <v>144</v>
      </c>
      <c r="K3" s="10" t="s">
        <v>142</v>
      </c>
      <c r="L3" s="11" t="s">
        <v>145</v>
      </c>
    </row>
    <row r="4" spans="2:12" ht="23.4" x14ac:dyDescent="0.45">
      <c r="B4" s="11" t="s">
        <v>56</v>
      </c>
      <c r="C4" s="27">
        <v>40</v>
      </c>
      <c r="D4" s="13"/>
      <c r="E4" s="11" t="s">
        <v>80</v>
      </c>
      <c r="F4" s="27">
        <v>1</v>
      </c>
      <c r="H4" s="11" t="s">
        <v>76</v>
      </c>
      <c r="I4" s="27">
        <v>3</v>
      </c>
      <c r="K4" s="11" t="s">
        <v>76</v>
      </c>
      <c r="L4" s="12">
        <v>22.3</v>
      </c>
    </row>
    <row r="5" spans="2:12" ht="23.4" x14ac:dyDescent="0.45">
      <c r="B5" s="11" t="s">
        <v>71</v>
      </c>
      <c r="C5" s="27">
        <v>15</v>
      </c>
      <c r="D5" s="13"/>
      <c r="E5" s="11" t="s">
        <v>53</v>
      </c>
      <c r="F5" s="27">
        <v>6</v>
      </c>
      <c r="H5" s="11" t="s">
        <v>122</v>
      </c>
      <c r="I5" s="27">
        <v>1</v>
      </c>
      <c r="K5" s="11" t="s">
        <v>122</v>
      </c>
      <c r="L5" s="12">
        <v>8</v>
      </c>
    </row>
    <row r="6" spans="2:12" ht="23.4" x14ac:dyDescent="0.45">
      <c r="B6" s="11" t="s">
        <v>143</v>
      </c>
      <c r="C6" s="27">
        <v>55</v>
      </c>
      <c r="D6" s="13"/>
      <c r="E6" s="11" t="s">
        <v>84</v>
      </c>
      <c r="F6" s="27">
        <v>1</v>
      </c>
      <c r="H6" s="11" t="s">
        <v>118</v>
      </c>
      <c r="I6" s="27">
        <v>1</v>
      </c>
      <c r="K6" s="11" t="s">
        <v>118</v>
      </c>
      <c r="L6" s="12">
        <v>6.6</v>
      </c>
    </row>
    <row r="7" spans="2:12" ht="23.4" x14ac:dyDescent="0.45">
      <c r="E7" s="11" t="s">
        <v>78</v>
      </c>
      <c r="F7" s="27">
        <v>2</v>
      </c>
      <c r="H7" s="11" t="s">
        <v>117</v>
      </c>
      <c r="I7" s="27">
        <v>1</v>
      </c>
      <c r="K7" s="11" t="s">
        <v>117</v>
      </c>
      <c r="L7" s="12">
        <v>7.6</v>
      </c>
    </row>
    <row r="8" spans="2:12" ht="23.4" x14ac:dyDescent="0.45">
      <c r="E8" s="11" t="s">
        <v>72</v>
      </c>
      <c r="F8" s="27">
        <v>23</v>
      </c>
      <c r="H8" s="11" t="s">
        <v>115</v>
      </c>
      <c r="I8" s="27">
        <v>1</v>
      </c>
      <c r="K8" s="11" t="s">
        <v>115</v>
      </c>
      <c r="L8" s="12">
        <v>6.9</v>
      </c>
    </row>
    <row r="9" spans="2:12" ht="23.4" x14ac:dyDescent="0.45">
      <c r="E9" s="11" t="s">
        <v>79</v>
      </c>
      <c r="F9" s="27">
        <v>2</v>
      </c>
      <c r="H9" s="11" t="s">
        <v>104</v>
      </c>
      <c r="I9" s="27">
        <v>1</v>
      </c>
      <c r="K9" s="11" t="s">
        <v>104</v>
      </c>
      <c r="L9" s="12">
        <v>7.8</v>
      </c>
    </row>
    <row r="10" spans="2:12" ht="23.4" x14ac:dyDescent="0.45">
      <c r="E10" s="11" t="s">
        <v>82</v>
      </c>
      <c r="F10" s="27">
        <v>1</v>
      </c>
      <c r="H10" s="11" t="s">
        <v>124</v>
      </c>
      <c r="I10" s="27">
        <v>1</v>
      </c>
      <c r="K10" s="11" t="s">
        <v>124</v>
      </c>
      <c r="L10" s="12">
        <v>8.3000000000000007</v>
      </c>
    </row>
    <row r="11" spans="2:12" ht="23.4" x14ac:dyDescent="0.45">
      <c r="E11" s="11" t="s">
        <v>81</v>
      </c>
      <c r="F11" s="27">
        <v>2</v>
      </c>
      <c r="H11" s="11" t="s">
        <v>55</v>
      </c>
      <c r="I11" s="27">
        <v>1</v>
      </c>
      <c r="K11" s="11" t="s">
        <v>55</v>
      </c>
      <c r="L11" s="12">
        <v>6.3</v>
      </c>
    </row>
    <row r="12" spans="2:12" ht="23.4" x14ac:dyDescent="0.45">
      <c r="E12" s="11" t="s">
        <v>64</v>
      </c>
      <c r="F12" s="27">
        <v>17</v>
      </c>
      <c r="H12" s="11" t="s">
        <v>113</v>
      </c>
      <c r="I12" s="27">
        <v>1</v>
      </c>
      <c r="K12" s="11" t="s">
        <v>113</v>
      </c>
      <c r="L12" s="12">
        <v>8.4</v>
      </c>
    </row>
    <row r="13" spans="2:12" ht="23.4" x14ac:dyDescent="0.45">
      <c r="E13" s="11" t="s">
        <v>143</v>
      </c>
      <c r="F13" s="27">
        <v>55</v>
      </c>
      <c r="H13" s="11" t="s">
        <v>121</v>
      </c>
      <c r="I13" s="27">
        <v>1</v>
      </c>
      <c r="K13" s="11" t="s">
        <v>121</v>
      </c>
      <c r="L13" s="12">
        <v>7.5</v>
      </c>
    </row>
    <row r="14" spans="2:12" ht="23.4" x14ac:dyDescent="0.45">
      <c r="H14" s="11" t="s">
        <v>74</v>
      </c>
      <c r="I14" s="27">
        <v>4</v>
      </c>
      <c r="K14" s="11" t="s">
        <v>74</v>
      </c>
      <c r="L14" s="12">
        <v>29.9</v>
      </c>
    </row>
    <row r="15" spans="2:12" ht="23.4" x14ac:dyDescent="0.45">
      <c r="H15" s="11" t="s">
        <v>93</v>
      </c>
      <c r="I15" s="27">
        <v>1</v>
      </c>
      <c r="K15" s="11" t="s">
        <v>93</v>
      </c>
      <c r="L15" s="12">
        <v>6.2</v>
      </c>
    </row>
    <row r="16" spans="2:12" ht="23.4" x14ac:dyDescent="0.45">
      <c r="H16" s="11" t="s">
        <v>58</v>
      </c>
      <c r="I16" s="27">
        <v>1</v>
      </c>
      <c r="K16" s="11" t="s">
        <v>58</v>
      </c>
      <c r="L16" s="12">
        <v>7.5</v>
      </c>
    </row>
    <row r="17" spans="8:12" ht="23.4" x14ac:dyDescent="0.45">
      <c r="H17" s="11" t="s">
        <v>116</v>
      </c>
      <c r="I17" s="27">
        <v>1</v>
      </c>
      <c r="K17" s="11" t="s">
        <v>116</v>
      </c>
      <c r="L17" s="12">
        <v>6.3</v>
      </c>
    </row>
    <row r="18" spans="8:12" ht="23.4" x14ac:dyDescent="0.45">
      <c r="H18" s="11" t="s">
        <v>120</v>
      </c>
      <c r="I18" s="27">
        <v>1</v>
      </c>
      <c r="K18" s="11" t="s">
        <v>120</v>
      </c>
      <c r="L18" s="12">
        <v>6.4</v>
      </c>
    </row>
    <row r="19" spans="8:12" ht="23.4" x14ac:dyDescent="0.45">
      <c r="H19" s="11" t="s">
        <v>88</v>
      </c>
      <c r="I19" s="27">
        <v>2</v>
      </c>
      <c r="K19" s="11" t="s">
        <v>88</v>
      </c>
      <c r="L19" s="12">
        <v>14.7</v>
      </c>
    </row>
    <row r="20" spans="8:12" ht="23.4" x14ac:dyDescent="0.45">
      <c r="H20" s="11" t="s">
        <v>65</v>
      </c>
      <c r="I20" s="27">
        <v>13</v>
      </c>
      <c r="K20" s="11" t="s">
        <v>65</v>
      </c>
      <c r="L20" s="12">
        <v>88.3</v>
      </c>
    </row>
    <row r="21" spans="8:12" ht="23.4" x14ac:dyDescent="0.45">
      <c r="H21" s="11" t="s">
        <v>97</v>
      </c>
      <c r="I21" s="27">
        <v>1</v>
      </c>
      <c r="K21" s="11" t="s">
        <v>97</v>
      </c>
      <c r="L21" s="12">
        <v>7.1</v>
      </c>
    </row>
    <row r="22" spans="8:12" ht="23.4" x14ac:dyDescent="0.45">
      <c r="H22" s="11" t="s">
        <v>67</v>
      </c>
      <c r="I22" s="27">
        <v>3</v>
      </c>
      <c r="K22" s="11" t="s">
        <v>67</v>
      </c>
      <c r="L22" s="12">
        <v>18.600000000000001</v>
      </c>
    </row>
    <row r="23" spans="8:12" ht="23.4" x14ac:dyDescent="0.45">
      <c r="H23" s="11" t="s">
        <v>87</v>
      </c>
      <c r="I23" s="27">
        <v>1</v>
      </c>
      <c r="K23" s="11" t="s">
        <v>87</v>
      </c>
      <c r="L23" s="12">
        <v>6.7</v>
      </c>
    </row>
    <row r="24" spans="8:12" ht="23.4" x14ac:dyDescent="0.45">
      <c r="H24" s="11" t="s">
        <v>110</v>
      </c>
      <c r="I24" s="27">
        <v>1</v>
      </c>
      <c r="K24" s="11" t="s">
        <v>110</v>
      </c>
      <c r="L24" s="12">
        <v>8</v>
      </c>
    </row>
    <row r="25" spans="8:12" ht="23.4" x14ac:dyDescent="0.45">
      <c r="H25" s="11" t="s">
        <v>109</v>
      </c>
      <c r="I25" s="27">
        <v>1</v>
      </c>
      <c r="K25" s="11" t="s">
        <v>109</v>
      </c>
      <c r="L25" s="12">
        <v>2.9</v>
      </c>
    </row>
    <row r="26" spans="8:12" ht="23.4" x14ac:dyDescent="0.45">
      <c r="H26" s="11" t="s">
        <v>77</v>
      </c>
      <c r="I26" s="27">
        <v>1</v>
      </c>
      <c r="K26" s="11" t="s">
        <v>77</v>
      </c>
      <c r="L26" s="12">
        <v>7.9</v>
      </c>
    </row>
    <row r="27" spans="8:12" ht="23.4" x14ac:dyDescent="0.45">
      <c r="H27" s="11" t="s">
        <v>63</v>
      </c>
      <c r="I27" s="27">
        <v>1</v>
      </c>
      <c r="K27" s="11" t="s">
        <v>63</v>
      </c>
      <c r="L27" s="12">
        <v>8</v>
      </c>
    </row>
    <row r="28" spans="8:12" ht="23.4" x14ac:dyDescent="0.45">
      <c r="H28" s="11" t="s">
        <v>61</v>
      </c>
      <c r="I28" s="27">
        <v>2</v>
      </c>
      <c r="K28" s="11" t="s">
        <v>61</v>
      </c>
      <c r="L28" s="12">
        <v>15.200000000000001</v>
      </c>
    </row>
    <row r="29" spans="8:12" ht="23.4" x14ac:dyDescent="0.45">
      <c r="H29" s="11" t="s">
        <v>123</v>
      </c>
      <c r="I29" s="27">
        <v>1</v>
      </c>
      <c r="K29" s="11" t="s">
        <v>123</v>
      </c>
      <c r="L29" s="12">
        <v>8.6999999999999993</v>
      </c>
    </row>
    <row r="30" spans="8:12" ht="23.4" x14ac:dyDescent="0.45">
      <c r="H30" s="11" t="s">
        <v>119</v>
      </c>
      <c r="I30" s="27">
        <v>1</v>
      </c>
      <c r="K30" s="11" t="s">
        <v>119</v>
      </c>
      <c r="L30" s="12">
        <v>5.4</v>
      </c>
    </row>
    <row r="31" spans="8:12" ht="23.4" x14ac:dyDescent="0.45">
      <c r="H31" s="11" t="s">
        <v>112</v>
      </c>
      <c r="I31" s="27">
        <v>1</v>
      </c>
      <c r="K31" s="11" t="s">
        <v>112</v>
      </c>
      <c r="L31" s="12">
        <v>8.3000000000000007</v>
      </c>
    </row>
    <row r="32" spans="8:12" ht="23.4" x14ac:dyDescent="0.45">
      <c r="H32" s="11" t="s">
        <v>102</v>
      </c>
      <c r="I32" s="27">
        <v>4</v>
      </c>
      <c r="K32" s="11" t="s">
        <v>102</v>
      </c>
      <c r="L32" s="12">
        <v>30.4</v>
      </c>
    </row>
    <row r="33" spans="8:12" ht="23.4" x14ac:dyDescent="0.45">
      <c r="H33" s="11" t="s">
        <v>98</v>
      </c>
      <c r="I33" s="27">
        <v>1</v>
      </c>
      <c r="K33" s="11" t="s">
        <v>98</v>
      </c>
      <c r="L33" s="12">
        <v>8.5</v>
      </c>
    </row>
    <row r="34" spans="8:12" ht="23.4" x14ac:dyDescent="0.45">
      <c r="H34" s="11" t="s">
        <v>114</v>
      </c>
      <c r="I34" s="27">
        <v>1</v>
      </c>
      <c r="K34" s="11" t="s">
        <v>114</v>
      </c>
      <c r="L34" s="12">
        <v>7.4</v>
      </c>
    </row>
    <row r="35" spans="8:12" ht="23.4" x14ac:dyDescent="0.45">
      <c r="H35" s="11" t="s">
        <v>143</v>
      </c>
      <c r="I35" s="27">
        <v>55</v>
      </c>
      <c r="K35" s="11" t="s">
        <v>143</v>
      </c>
      <c r="L35" s="12">
        <v>392.09999999999991</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EE356-775D-4488-AF98-170C99401E5E}">
  <dimension ref="B1:M4"/>
  <sheetViews>
    <sheetView showGridLines="0" zoomScale="77" zoomScaleNormal="70" workbookViewId="0">
      <selection activeCell="AL14" sqref="AL14"/>
    </sheetView>
  </sheetViews>
  <sheetFormatPr defaultRowHeight="14.4" x14ac:dyDescent="0.3"/>
  <cols>
    <col min="2" max="2" width="11.5546875" customWidth="1"/>
    <col min="4" max="4" width="8.88671875" customWidth="1"/>
    <col min="8" max="8" width="10.109375" customWidth="1"/>
    <col min="10" max="11" width="10.5546875" customWidth="1"/>
    <col min="13" max="13" width="10.6640625" customWidth="1"/>
  </cols>
  <sheetData>
    <row r="1" spans="2:13" ht="33.6" x14ac:dyDescent="0.65">
      <c r="D1" s="14"/>
      <c r="I1" s="26" t="s">
        <v>150</v>
      </c>
    </row>
    <row r="2" spans="2:13" x14ac:dyDescent="0.3">
      <c r="M2" s="16"/>
    </row>
    <row r="3" spans="2:13" s="15" customFormat="1" ht="28.8" x14ac:dyDescent="0.55000000000000004">
      <c r="B3" s="19"/>
      <c r="C3" s="23" t="s">
        <v>151</v>
      </c>
      <c r="D3" s="19"/>
      <c r="E3" s="19"/>
      <c r="F3" s="23" t="s">
        <v>152</v>
      </c>
      <c r="G3" s="19"/>
      <c r="H3" s="19"/>
      <c r="I3" s="24" t="s">
        <v>154</v>
      </c>
      <c r="J3" s="17"/>
      <c r="K3" s="21"/>
      <c r="L3" s="24" t="s">
        <v>153</v>
      </c>
      <c r="M3" s="17"/>
    </row>
    <row r="4" spans="2:13" s="15" customFormat="1" ht="28.8" x14ac:dyDescent="0.55000000000000004">
      <c r="B4" s="22"/>
      <c r="C4" s="25">
        <v>55</v>
      </c>
      <c r="D4" s="20"/>
      <c r="E4" s="18"/>
      <c r="F4" s="25">
        <v>40</v>
      </c>
      <c r="G4" s="20"/>
      <c r="H4" s="18"/>
      <c r="I4" s="25">
        <v>15</v>
      </c>
      <c r="J4" s="20"/>
      <c r="K4" s="18"/>
      <c r="L4" s="25">
        <v>7.1</v>
      </c>
      <c r="M4"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Frooti Sinha</dc:creator>
  <cp:lastModifiedBy>Frooti Sinha</cp:lastModifiedBy>
  <dcterms:created xsi:type="dcterms:W3CDTF">2026-04-14T16:14:23Z</dcterms:created>
  <dcterms:modified xsi:type="dcterms:W3CDTF">2026-04-16T15:03:55Z</dcterms:modified>
</cp:coreProperties>
</file>